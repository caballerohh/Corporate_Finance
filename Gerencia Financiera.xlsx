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1948\Documents\1. CLASES\1. CICLO 10\1. GERENCIA FINANCIERA\TRABAJO FINL\"/>
    </mc:Choice>
  </mc:AlternateContent>
  <xr:revisionPtr revIDLastSave="0" documentId="13_ncr:1_{826FA6D5-5C8C-4619-8F8E-B45F3F49C7DE}" xr6:coauthVersionLast="47" xr6:coauthVersionMax="47" xr10:uidLastSave="{00000000-0000-0000-0000-000000000000}"/>
  <bookViews>
    <workbookView xWindow="-108" yWindow="-108" windowWidth="23256" windowHeight="12456" tabRatio="812" firstSheet="7" activeTab="10" xr2:uid="{5B2F13DB-303A-44B2-AFB5-94A1401D0201}"/>
  </bookViews>
  <sheets>
    <sheet name="ESF" sheetId="2" r:id="rId1"/>
    <sheet name="EERR" sheetId="3" r:id="rId2"/>
    <sheet name="Flowcash" sheetId="4" r:id="rId3"/>
    <sheet name="Planeamiento Financiero" sheetId="1" r:id="rId4"/>
    <sheet name="Balance Proforma" sheetId="5" r:id="rId5"/>
    <sheet name="Proyección con históricos" sheetId="7" r:id="rId6"/>
    <sheet name="Presupuesto Ventas y Producción" sheetId="6" r:id="rId7"/>
    <sheet name="Presupuesto de Gastos Generales" sheetId="8" r:id="rId8"/>
    <sheet name="EERR y Cash Flow proyectad" sheetId="9" r:id="rId9"/>
    <sheet name="Capital de Trabajo" sheetId="11" r:id="rId10"/>
    <sheet name="Valuacion" sheetId="12" r:id="rId11"/>
    <sheet name="TRI Y CAPM" sheetId="13" r:id="rId12"/>
    <sheet name="CONTROL PRESUPUESTAL" sheetId="15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5" l="1"/>
  <c r="F7" i="15"/>
  <c r="F8" i="15"/>
  <c r="F9" i="15"/>
  <c r="F10" i="15"/>
  <c r="F11" i="15"/>
  <c r="F12" i="15"/>
  <c r="F13" i="15"/>
  <c r="F14" i="15"/>
  <c r="F15" i="15"/>
  <c r="F5" i="15"/>
  <c r="E5" i="15"/>
  <c r="E6" i="15"/>
  <c r="E8" i="15"/>
  <c r="E9" i="15"/>
  <c r="E10" i="15"/>
  <c r="E11" i="15"/>
  <c r="E13" i="15"/>
  <c r="E14" i="15"/>
  <c r="D7" i="15"/>
  <c r="E7" i="15" s="1"/>
  <c r="D12" i="15" l="1"/>
  <c r="E12" i="15" s="1"/>
  <c r="C18" i="13"/>
  <c r="C8" i="13"/>
  <c r="C9" i="13"/>
  <c r="C10" i="13"/>
  <c r="D38" i="12"/>
  <c r="D36" i="12"/>
  <c r="D37" i="12"/>
  <c r="C38" i="12"/>
  <c r="C18" i="12"/>
  <c r="C37" i="12"/>
  <c r="C36" i="12"/>
  <c r="O4" i="13"/>
  <c r="D4" i="13"/>
  <c r="E4" i="13"/>
  <c r="F4" i="13"/>
  <c r="G4" i="13"/>
  <c r="H4" i="13"/>
  <c r="I4" i="13"/>
  <c r="J4" i="13"/>
  <c r="K4" i="13"/>
  <c r="L4" i="13"/>
  <c r="M4" i="13"/>
  <c r="N4" i="13"/>
  <c r="C4" i="13"/>
  <c r="C26" i="12"/>
  <c r="C25" i="12"/>
  <c r="C24" i="12"/>
  <c r="C23" i="12"/>
  <c r="C27" i="12" s="1"/>
  <c r="D22" i="12"/>
  <c r="D21" i="12"/>
  <c r="D27" i="12" s="1"/>
  <c r="B25" i="12"/>
  <c r="B24" i="12"/>
  <c r="F58" i="5"/>
  <c r="F46" i="5"/>
  <c r="G48" i="6"/>
  <c r="E8" i="6"/>
  <c r="D58" i="7"/>
  <c r="D57" i="7" s="1"/>
  <c r="E58" i="7"/>
  <c r="E57" i="7" s="1"/>
  <c r="F58" i="7"/>
  <c r="C58" i="7"/>
  <c r="F57" i="7"/>
  <c r="C57" i="7"/>
  <c r="D64" i="1"/>
  <c r="G41" i="9"/>
  <c r="G53" i="9"/>
  <c r="E51" i="9"/>
  <c r="E52" i="9" s="1"/>
  <c r="D52" i="9"/>
  <c r="C52" i="9"/>
  <c r="D55" i="9"/>
  <c r="C55" i="9"/>
  <c r="M22" i="6"/>
  <c r="J22" i="6"/>
  <c r="G22" i="6"/>
  <c r="D22" i="6"/>
  <c r="F52" i="9"/>
  <c r="B46" i="11"/>
  <c r="B39" i="9"/>
  <c r="C39" i="9"/>
  <c r="D39" i="9"/>
  <c r="E39" i="9"/>
  <c r="F39" i="9"/>
  <c r="G39" i="9"/>
  <c r="B40" i="9"/>
  <c r="B42" i="9"/>
  <c r="B43" i="9"/>
  <c r="B44" i="9"/>
  <c r="B45" i="9"/>
  <c r="B46" i="9"/>
  <c r="B47" i="9"/>
  <c r="B48" i="9"/>
  <c r="B49" i="9"/>
  <c r="B50" i="9"/>
  <c r="B57" i="9"/>
  <c r="B58" i="9"/>
  <c r="C33" i="9"/>
  <c r="G33" i="9" s="1"/>
  <c r="B42" i="11"/>
  <c r="B34" i="11"/>
  <c r="B5" i="11"/>
  <c r="D15" i="15" l="1"/>
  <c r="E15" i="15" s="1"/>
  <c r="C28" i="12"/>
  <c r="G52" i="9"/>
  <c r="G51" i="9"/>
  <c r="C57" i="9"/>
  <c r="G57" i="9" s="1"/>
  <c r="B30" i="11"/>
  <c r="B38" i="11"/>
  <c r="F25" i="5" l="1"/>
  <c r="C11" i="9" a="1"/>
  <c r="C11" i="9" s="1"/>
  <c r="G11" i="9" s="1"/>
  <c r="G29" i="9" s="1"/>
  <c r="C10" i="9" a="1"/>
  <c r="C10" i="9" s="1"/>
  <c r="G10" i="9" s="1"/>
  <c r="G28" i="9" s="1"/>
  <c r="E28" i="9" l="1"/>
  <c r="E46" i="9" s="1"/>
  <c r="C28" i="9"/>
  <c r="C46" i="9" s="1"/>
  <c r="F28" i="9"/>
  <c r="F46" i="9" s="1"/>
  <c r="C29" i="9"/>
  <c r="C47" i="9" s="1"/>
  <c r="D28" i="9"/>
  <c r="D46" i="9" s="1"/>
  <c r="F29" i="9"/>
  <c r="F47" i="9" s="1"/>
  <c r="E29" i="9"/>
  <c r="E47" i="9" s="1"/>
  <c r="D29" i="9"/>
  <c r="D47" i="9" s="1"/>
  <c r="G36" i="8"/>
  <c r="G47" i="9" l="1"/>
  <c r="G46" i="9"/>
  <c r="G63" i="8"/>
  <c r="G62" i="8"/>
  <c r="G61" i="8"/>
  <c r="F55" i="8"/>
  <c r="F64" i="8" s="1"/>
  <c r="E55" i="8"/>
  <c r="E64" i="8" s="1"/>
  <c r="D55" i="8"/>
  <c r="D64" i="8" s="1"/>
  <c r="C55" i="8"/>
  <c r="G54" i="8"/>
  <c r="G53" i="8"/>
  <c r="G52" i="8"/>
  <c r="G44" i="8"/>
  <c r="G20" i="8"/>
  <c r="G21" i="8"/>
  <c r="G22" i="8"/>
  <c r="G23" i="8"/>
  <c r="G24" i="8"/>
  <c r="G25" i="8"/>
  <c r="G26" i="8"/>
  <c r="G27" i="8"/>
  <c r="G28" i="8"/>
  <c r="G29" i="8"/>
  <c r="E30" i="8"/>
  <c r="C30" i="8"/>
  <c r="F19" i="8"/>
  <c r="F30" i="8" s="1"/>
  <c r="D19" i="8"/>
  <c r="D30" i="8" s="1"/>
  <c r="G9" i="8"/>
  <c r="G10" i="8"/>
  <c r="G11" i="8"/>
  <c r="G12" i="8"/>
  <c r="E13" i="8"/>
  <c r="E8" i="9" s="1"/>
  <c r="E26" i="9" s="1"/>
  <c r="E44" i="9" s="1"/>
  <c r="F8" i="8"/>
  <c r="F13" i="8" s="1"/>
  <c r="F8" i="9" s="1"/>
  <c r="F26" i="9" s="1"/>
  <c r="F44" i="9" s="1"/>
  <c r="D8" i="8"/>
  <c r="C13" i="8"/>
  <c r="G19" i="8" l="1"/>
  <c r="G8" i="8"/>
  <c r="C8" i="9"/>
  <c r="C26" i="9" s="1"/>
  <c r="C44" i="9" s="1"/>
  <c r="C9" i="9" a="1"/>
  <c r="G30" i="8"/>
  <c r="C64" i="8"/>
  <c r="C14" i="9" s="1" a="1"/>
  <c r="C13" i="9" a="1"/>
  <c r="D13" i="8"/>
  <c r="D8" i="9" s="1"/>
  <c r="D26" i="9" s="1"/>
  <c r="D44" i="9" s="1"/>
  <c r="G55" i="8"/>
  <c r="F6" i="6"/>
  <c r="I6" i="6"/>
  <c r="I7" i="6"/>
  <c r="K27" i="6"/>
  <c r="N25" i="6" s="1"/>
  <c r="H27" i="6"/>
  <c r="K25" i="6" s="1"/>
  <c r="E27" i="6"/>
  <c r="G44" i="9" l="1"/>
  <c r="C13" i="9"/>
  <c r="E30" i="9"/>
  <c r="E48" i="9" s="1"/>
  <c r="F30" i="9"/>
  <c r="F48" i="9" s="1"/>
  <c r="D30" i="9"/>
  <c r="D48" i="9" s="1"/>
  <c r="C9" i="9"/>
  <c r="D27" i="9"/>
  <c r="D45" i="9" s="1"/>
  <c r="E27" i="9"/>
  <c r="E45" i="9" s="1"/>
  <c r="F27" i="9"/>
  <c r="F45" i="9" s="1"/>
  <c r="C14" i="9"/>
  <c r="D31" i="9"/>
  <c r="D49" i="9" s="1"/>
  <c r="E31" i="9"/>
  <c r="E49" i="9" s="1"/>
  <c r="F31" i="9"/>
  <c r="F49" i="9" s="1"/>
  <c r="G8" i="9"/>
  <c r="G26" i="9" s="1"/>
  <c r="G64" i="8"/>
  <c r="G13" i="8"/>
  <c r="H25" i="6"/>
  <c r="G9" i="9" l="1"/>
  <c r="G27" i="9" s="1"/>
  <c r="C27" i="9"/>
  <c r="C45" i="9" s="1"/>
  <c r="G45" i="9" s="1"/>
  <c r="G14" i="9"/>
  <c r="G31" i="9" s="1"/>
  <c r="C31" i="9"/>
  <c r="C49" i="9" s="1"/>
  <c r="G49" i="9" s="1"/>
  <c r="G13" i="9"/>
  <c r="G30" i="9" s="1"/>
  <c r="C30" i="9"/>
  <c r="C48" i="9" s="1"/>
  <c r="G48" i="9" s="1"/>
  <c r="G64" i="7" l="1"/>
  <c r="C60" i="7"/>
  <c r="N8" i="6"/>
  <c r="N26" i="6" s="1"/>
  <c r="N28" i="6" s="1"/>
  <c r="K8" i="6"/>
  <c r="K26" i="6" s="1"/>
  <c r="K28" i="6" s="1"/>
  <c r="H8" i="6"/>
  <c r="H26" i="6" s="1"/>
  <c r="H28" i="6" s="1"/>
  <c r="O7" i="6"/>
  <c r="O6" i="6"/>
  <c r="L7" i="6"/>
  <c r="L6" i="6"/>
  <c r="G57" i="7"/>
  <c r="E60" i="7"/>
  <c r="F60" i="7"/>
  <c r="C37" i="7"/>
  <c r="D37" i="7"/>
  <c r="E37" i="7"/>
  <c r="F37" i="7"/>
  <c r="C38" i="7"/>
  <c r="D38" i="7"/>
  <c r="E38" i="7"/>
  <c r="F38" i="7"/>
  <c r="C39" i="7"/>
  <c r="D39" i="7"/>
  <c r="E39" i="7"/>
  <c r="F39" i="7"/>
  <c r="G26" i="7"/>
  <c r="G25" i="7"/>
  <c r="G23" i="7"/>
  <c r="G22" i="7"/>
  <c r="G21" i="7"/>
  <c r="C12" i="7"/>
  <c r="D12" i="7"/>
  <c r="E12" i="7"/>
  <c r="F12" i="7"/>
  <c r="C13" i="7"/>
  <c r="D13" i="7"/>
  <c r="E13" i="7"/>
  <c r="F13" i="7"/>
  <c r="D11" i="7"/>
  <c r="E11" i="7"/>
  <c r="F11" i="7"/>
  <c r="C21" i="7"/>
  <c r="C11" i="7" s="1"/>
  <c r="G6" i="7"/>
  <c r="C43" i="7"/>
  <c r="D43" i="7"/>
  <c r="E43" i="7"/>
  <c r="F43" i="7"/>
  <c r="D42" i="7"/>
  <c r="E42" i="7"/>
  <c r="F42" i="7"/>
  <c r="C42" i="7"/>
  <c r="G42" i="7" s="1"/>
  <c r="C17" i="7"/>
  <c r="D17" i="7"/>
  <c r="E17" i="7"/>
  <c r="F17" i="7"/>
  <c r="D16" i="7"/>
  <c r="E16" i="7"/>
  <c r="F16" i="7"/>
  <c r="C16" i="7"/>
  <c r="G43" i="7" l="1"/>
  <c r="G39" i="7"/>
  <c r="D7" i="7"/>
  <c r="F7" i="7"/>
  <c r="C7" i="7"/>
  <c r="E7" i="7"/>
  <c r="P6" i="6"/>
  <c r="K24" i="6"/>
  <c r="K21" i="6"/>
  <c r="L21" i="6" s="1"/>
  <c r="K22" i="6"/>
  <c r="L22" i="6" s="1"/>
  <c r="N21" i="6"/>
  <c r="O21" i="6" s="1"/>
  <c r="N22" i="6"/>
  <c r="O22" i="6" s="1"/>
  <c r="N24" i="6"/>
  <c r="H21" i="6"/>
  <c r="I21" i="6" s="1"/>
  <c r="H22" i="6"/>
  <c r="I22" i="6" s="1"/>
  <c r="H24" i="6"/>
  <c r="I8" i="6"/>
  <c r="G8" i="6" s="1"/>
  <c r="L8" i="6"/>
  <c r="O8" i="6"/>
  <c r="C14" i="7"/>
  <c r="F40" i="7"/>
  <c r="D40" i="7"/>
  <c r="F59" i="7"/>
  <c r="C59" i="7"/>
  <c r="E59" i="7"/>
  <c r="C40" i="7"/>
  <c r="F14" i="7"/>
  <c r="E14" i="7"/>
  <c r="E40" i="7"/>
  <c r="G13" i="7"/>
  <c r="G17" i="7"/>
  <c r="G56" i="7"/>
  <c r="G16" i="7"/>
  <c r="D14" i="7"/>
  <c r="G38" i="7"/>
  <c r="G44" i="7"/>
  <c r="G37" i="7"/>
  <c r="F18" i="7"/>
  <c r="G12" i="7"/>
  <c r="C44" i="7"/>
  <c r="D18" i="7"/>
  <c r="D44" i="7"/>
  <c r="F44" i="7"/>
  <c r="E18" i="7"/>
  <c r="C18" i="7"/>
  <c r="E44" i="7"/>
  <c r="F44" i="5"/>
  <c r="B20" i="5"/>
  <c r="B21" i="5"/>
  <c r="B22" i="5"/>
  <c r="B23" i="5"/>
  <c r="B25" i="5"/>
  <c r="B26" i="5"/>
  <c r="B27" i="5"/>
  <c r="B28" i="5"/>
  <c r="B29" i="5"/>
  <c r="B30" i="5"/>
  <c r="B31" i="5"/>
  <c r="B32" i="5"/>
  <c r="B33" i="5"/>
  <c r="B34" i="5"/>
  <c r="B36" i="5"/>
  <c r="E19" i="5"/>
  <c r="E22" i="5"/>
  <c r="E23" i="5"/>
  <c r="E25" i="5"/>
  <c r="E26" i="5"/>
  <c r="E27" i="5"/>
  <c r="E29" i="5"/>
  <c r="E30" i="5"/>
  <c r="E31" i="5"/>
  <c r="E32" i="5"/>
  <c r="E33" i="5"/>
  <c r="E34" i="5"/>
  <c r="E35" i="5"/>
  <c r="E36" i="5"/>
  <c r="B19" i="5"/>
  <c r="C13" i="5"/>
  <c r="F12" i="5" s="1"/>
  <c r="F13" i="5" s="1"/>
  <c r="G7" i="7" l="1"/>
  <c r="L23" i="6"/>
  <c r="L24" i="6" s="1"/>
  <c r="M8" i="6"/>
  <c r="F5" i="9"/>
  <c r="F23" i="9" s="1"/>
  <c r="F40" i="9" s="1"/>
  <c r="O23" i="6"/>
  <c r="O24" i="6" s="1"/>
  <c r="J8" i="6"/>
  <c r="E5" i="9"/>
  <c r="E23" i="9" s="1"/>
  <c r="E40" i="9" s="1"/>
  <c r="I23" i="6"/>
  <c r="I24" i="6" s="1"/>
  <c r="D5" i="9"/>
  <c r="D23" i="9" s="1"/>
  <c r="D40" i="9" s="1"/>
  <c r="G18" i="7"/>
  <c r="G40" i="7"/>
  <c r="G58" i="7"/>
  <c r="G60" i="7" s="1"/>
  <c r="D60" i="7"/>
  <c r="D59" i="7"/>
  <c r="D63" i="1"/>
  <c r="F19" i="5" s="1"/>
  <c r="D65" i="1"/>
  <c r="F22" i="5" s="1"/>
  <c r="D66" i="1"/>
  <c r="F23" i="5" s="1"/>
  <c r="D68" i="1"/>
  <c r="D69" i="1"/>
  <c r="F26" i="5" s="1"/>
  <c r="D70" i="1"/>
  <c r="F27" i="5" s="1"/>
  <c r="D73" i="1"/>
  <c r="F30" i="5" s="1"/>
  <c r="D74" i="1"/>
  <c r="F31" i="5" s="1"/>
  <c r="D75" i="1"/>
  <c r="F32" i="5" s="1"/>
  <c r="D76" i="1"/>
  <c r="F33" i="5" s="1"/>
  <c r="D77" i="1"/>
  <c r="F34" i="5" s="1"/>
  <c r="F19" i="1"/>
  <c r="F37" i="1" s="1"/>
  <c r="D52" i="1"/>
  <c r="C26" i="5" s="1"/>
  <c r="D53" i="1"/>
  <c r="C27" i="5" s="1"/>
  <c r="D54" i="1"/>
  <c r="C28" i="5" s="1"/>
  <c r="D55" i="1"/>
  <c r="C29" i="5" s="1"/>
  <c r="D56" i="1"/>
  <c r="C30" i="5" s="1"/>
  <c r="D57" i="1"/>
  <c r="C31" i="5" s="1"/>
  <c r="D58" i="1"/>
  <c r="C32" i="5" s="1"/>
  <c r="D59" i="1"/>
  <c r="C33" i="5" s="1"/>
  <c r="D60" i="1"/>
  <c r="C34" i="5" s="1"/>
  <c r="D51" i="1"/>
  <c r="D49" i="1"/>
  <c r="C23" i="5" s="1"/>
  <c r="D48" i="1"/>
  <c r="C22" i="5" s="1"/>
  <c r="F25" i="1"/>
  <c r="G25" i="1"/>
  <c r="H25" i="1"/>
  <c r="F26" i="1"/>
  <c r="G26" i="1"/>
  <c r="H26" i="1"/>
  <c r="F27" i="1"/>
  <c r="G27" i="1"/>
  <c r="H27" i="1"/>
  <c r="F28" i="1"/>
  <c r="G28" i="1"/>
  <c r="H28" i="1"/>
  <c r="F29" i="1"/>
  <c r="G29" i="1"/>
  <c r="H29" i="1"/>
  <c r="F30" i="1"/>
  <c r="G30" i="1"/>
  <c r="H30" i="1"/>
  <c r="F31" i="1"/>
  <c r="G31" i="1"/>
  <c r="H31" i="1"/>
  <c r="F32" i="1"/>
  <c r="G32" i="1"/>
  <c r="H32" i="1"/>
  <c r="F33" i="1"/>
  <c r="G33" i="1"/>
  <c r="H33" i="1"/>
  <c r="F34" i="1"/>
  <c r="G34" i="1"/>
  <c r="H34" i="1"/>
  <c r="F35" i="1"/>
  <c r="G35" i="1"/>
  <c r="H35" i="1"/>
  <c r="F36" i="1"/>
  <c r="G36" i="1"/>
  <c r="H36" i="1"/>
  <c r="E26" i="1"/>
  <c r="E27" i="1"/>
  <c r="E28" i="1"/>
  <c r="E29" i="1"/>
  <c r="E30" i="1"/>
  <c r="E31" i="1"/>
  <c r="E32" i="1"/>
  <c r="E33" i="1"/>
  <c r="E34" i="1"/>
  <c r="E35" i="1"/>
  <c r="E36" i="1"/>
  <c r="E25" i="1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2" i="4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M24" i="6" l="1"/>
  <c r="F6" i="9"/>
  <c r="J24" i="6"/>
  <c r="E6" i="9"/>
  <c r="G24" i="6"/>
  <c r="D6" i="9"/>
  <c r="F42" i="5"/>
  <c r="C42" i="5"/>
  <c r="C53" i="5"/>
  <c r="G59" i="7"/>
  <c r="D61" i="1"/>
  <c r="C35" i="5" s="1"/>
  <c r="C25" i="5"/>
  <c r="C56" i="5" s="1"/>
  <c r="F52" i="5"/>
  <c r="D71" i="1"/>
  <c r="F28" i="5" s="1"/>
  <c r="D46" i="1"/>
  <c r="C20" i="5" s="1"/>
  <c r="C47" i="5" s="1"/>
  <c r="D78" i="1"/>
  <c r="F35" i="5" s="1"/>
  <c r="F53" i="5" s="1"/>
  <c r="E37" i="1"/>
  <c r="E19" i="1" s="1"/>
  <c r="D45" i="1" s="1"/>
  <c r="G37" i="1"/>
  <c r="G19" i="1" s="1"/>
  <c r="D47" i="1" s="1"/>
  <c r="C21" i="5" s="1"/>
  <c r="C50" i="5" s="1"/>
  <c r="E7" i="9" l="1"/>
  <c r="E12" i="9" s="1"/>
  <c r="E15" i="9" s="1"/>
  <c r="E16" i="9" s="1"/>
  <c r="E25" i="9"/>
  <c r="D7" i="9"/>
  <c r="D12" i="9" s="1"/>
  <c r="D15" i="9" s="1"/>
  <c r="D16" i="9" s="1"/>
  <c r="D17" i="9" s="1"/>
  <c r="D25" i="9"/>
  <c r="F7" i="9"/>
  <c r="F12" i="9" s="1"/>
  <c r="F15" i="9" s="1"/>
  <c r="F16" i="9" s="1"/>
  <c r="F17" i="9" s="1"/>
  <c r="F25" i="9"/>
  <c r="D50" i="1"/>
  <c r="C19" i="5"/>
  <c r="C44" i="5" s="1"/>
  <c r="C58" i="5" s="1"/>
  <c r="E17" i="9" l="1"/>
  <c r="D24" i="9"/>
  <c r="D43" i="9"/>
  <c r="D42" i="9" s="1"/>
  <c r="D50" i="9" s="1"/>
  <c r="D56" i="9" s="1"/>
  <c r="F24" i="9"/>
  <c r="F43" i="9"/>
  <c r="F42" i="9" s="1"/>
  <c r="F50" i="9" s="1"/>
  <c r="E24" i="9"/>
  <c r="E43" i="9"/>
  <c r="E42" i="9" s="1"/>
  <c r="E50" i="9" s="1"/>
  <c r="D62" i="1"/>
  <c r="C36" i="5" s="1"/>
  <c r="C24" i="5"/>
  <c r="E32" i="9" l="1"/>
  <c r="F32" i="9"/>
  <c r="D32" i="9"/>
  <c r="F21" i="5"/>
  <c r="H37" i="1"/>
  <c r="B9" i="11" l="1"/>
  <c r="D67" i="1"/>
  <c r="D72" i="1" l="1"/>
  <c r="F24" i="5"/>
  <c r="D79" i="1" l="1"/>
  <c r="F36" i="5" s="1"/>
  <c r="F29" i="5"/>
  <c r="G11" i="7" l="1"/>
  <c r="G14" i="7" s="1"/>
  <c r="F54" i="9" l="1"/>
  <c r="F55" i="9" l="1"/>
  <c r="F56" i="9" s="1"/>
  <c r="G54" i="9"/>
  <c r="E55" i="9"/>
  <c r="E56" i="9" s="1"/>
  <c r="G55" i="9" l="1"/>
  <c r="C73" i="7" l="1"/>
  <c r="C79" i="7" s="1"/>
  <c r="E73" i="7"/>
  <c r="E79" i="7" s="1"/>
  <c r="E31" i="7"/>
  <c r="E66" i="7" s="1"/>
  <c r="D31" i="7"/>
  <c r="D66" i="7" s="1"/>
  <c r="D73" i="7"/>
  <c r="D79" i="7" s="1"/>
  <c r="F31" i="7"/>
  <c r="F73" i="7"/>
  <c r="F79" i="7" s="1"/>
  <c r="C31" i="7"/>
  <c r="C66" i="7" s="1"/>
  <c r="C65" i="7" l="1"/>
  <c r="G66" i="7"/>
  <c r="G67" i="7" s="1"/>
  <c r="C67" i="7"/>
  <c r="G31" i="7"/>
  <c r="F66" i="7"/>
  <c r="D65" i="7"/>
  <c r="D68" i="7" s="1"/>
  <c r="D67" i="7"/>
  <c r="E65" i="7"/>
  <c r="E68" i="7" s="1"/>
  <c r="E67" i="7"/>
  <c r="G79" i="7"/>
  <c r="F7" i="6"/>
  <c r="P7" i="6" s="1"/>
  <c r="F8" i="6" l="1"/>
  <c r="C5" i="9" s="1"/>
  <c r="C23" i="9" s="1"/>
  <c r="C40" i="9" s="1"/>
  <c r="F65" i="7"/>
  <c r="F68" i="7" s="1"/>
  <c r="F67" i="7"/>
  <c r="C68" i="7"/>
  <c r="E26" i="6"/>
  <c r="E28" i="6" s="1"/>
  <c r="D8" i="6" l="1"/>
  <c r="P8" i="6"/>
  <c r="C17" i="12" s="1"/>
  <c r="G5" i="9"/>
  <c r="G23" i="9" s="1"/>
  <c r="G40" i="9" s="1"/>
  <c r="P28" i="6"/>
  <c r="C16" i="12" s="1"/>
  <c r="E24" i="6"/>
  <c r="E22" i="6"/>
  <c r="F22" i="6" s="1"/>
  <c r="P22" i="6" s="1"/>
  <c r="G65" i="7"/>
  <c r="G68" i="7" s="1"/>
  <c r="E21" i="6"/>
  <c r="F21" i="6" s="1"/>
  <c r="C33" i="12" l="1"/>
  <c r="C32" i="12"/>
  <c r="C31" i="12"/>
  <c r="F23" i="6"/>
  <c r="P23" i="6" s="1"/>
  <c r="P21" i="6"/>
  <c r="F24" i="6" l="1"/>
  <c r="C6" i="9" l="1"/>
  <c r="D24" i="6"/>
  <c r="P24" i="6"/>
  <c r="G6" i="9" l="1"/>
  <c r="G25" i="9" s="1"/>
  <c r="G24" i="9" s="1"/>
  <c r="G32" i="9" s="1"/>
  <c r="C25" i="9"/>
  <c r="C7" i="9"/>
  <c r="C12" i="9" l="1"/>
  <c r="G7" i="9"/>
  <c r="C24" i="9"/>
  <c r="C32" i="9" s="1"/>
  <c r="C34" i="9" s="1"/>
  <c r="D33" i="9" s="1"/>
  <c r="D34" i="9" s="1"/>
  <c r="E33" i="9" s="1"/>
  <c r="E34" i="9" s="1"/>
  <c r="F33" i="9" s="1"/>
  <c r="F34" i="9" s="1"/>
  <c r="G34" i="9" s="1"/>
  <c r="C43" i="9"/>
  <c r="G43" i="9" l="1"/>
  <c r="C42" i="9"/>
  <c r="C15" i="9"/>
  <c r="G12" i="9"/>
  <c r="C16" i="9" l="1"/>
  <c r="G16" i="9" s="1"/>
  <c r="G15" i="9"/>
  <c r="C50" i="9"/>
  <c r="C56" i="9" s="1"/>
  <c r="G42" i="9"/>
  <c r="G50" i="9" s="1"/>
  <c r="C58" i="9" l="1"/>
  <c r="D57" i="9" s="1"/>
  <c r="D58" i="9" s="1"/>
  <c r="E57" i="9" s="1"/>
  <c r="E58" i="9" s="1"/>
  <c r="G56" i="9"/>
  <c r="C17" i="9"/>
  <c r="G17" i="9" s="1"/>
  <c r="F57" i="9" l="1"/>
  <c r="F58" i="9" s="1"/>
  <c r="G58" i="9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<sst xmlns="http://schemas.openxmlformats.org/spreadsheetml/2006/main" count="673" uniqueCount="373">
  <si>
    <t>Cuenta</t>
  </si>
  <si>
    <t>PROMEDIO</t>
  </si>
  <si>
    <t>Efectivo y Equivalentes al Efectivo</t>
  </si>
  <si>
    <t>Cuentas por Cobrar Comerciales y Otras Cuentas por Cobrar</t>
  </si>
  <si>
    <t>Cuentas por Cobrar Comerciales</t>
  </si>
  <si>
    <t>Cuentas por Cobrar a Entidades Relacionadas</t>
  </si>
  <si>
    <t>Otras Cuentas por Cobrar</t>
  </si>
  <si>
    <t>Inventarios</t>
  </si>
  <si>
    <t>Activos Corrientes Distintos al Efectivo Pignorados como Garantía Colateral</t>
  </si>
  <si>
    <t xml:space="preserve">Total Activos Corrientes Distintos de los Activos no Corrientes </t>
  </si>
  <si>
    <t>Total Activos Corrientes</t>
  </si>
  <si>
    <t>Otros Activos Financieros</t>
  </si>
  <si>
    <t>Inversiones en Subsidiarias, Negocios Conjuntos y Asociadas</t>
  </si>
  <si>
    <t>Propiedades de Inversión</t>
  </si>
  <si>
    <t>Propiedades, Planta y Equipo</t>
  </si>
  <si>
    <t>Activos Intangibles Distintos de la Plusvalía</t>
  </si>
  <si>
    <t>Activos por Impuestos Diferidos</t>
  </si>
  <si>
    <t>Total Activos No Corrientes</t>
  </si>
  <si>
    <t>TOTAL DE ACTIVOS</t>
  </si>
  <si>
    <t>Otros Pasivos Financieros</t>
  </si>
  <si>
    <t>Cuentas por Pagar Comerciales y Otras Cuentas por Pagar</t>
  </si>
  <si>
    <t>Cuentas por Pagar Comerciales</t>
  </si>
  <si>
    <t>Cuentas por Pagar a Entidades Relacionadas</t>
  </si>
  <si>
    <t>Otras Cuentas por Pagar</t>
  </si>
  <si>
    <t>Otros Pasivos no Financieros</t>
  </si>
  <si>
    <t>Total de Pasivos Corrientes Distintos de Pasivos Incluidos en Grupos de Activos para su Disposición Clasificados como Mantenidos para la Venta</t>
  </si>
  <si>
    <t>Total Pasivos Corrientes</t>
  </si>
  <si>
    <t>Pasivos por Impuestos Diferidos</t>
  </si>
  <si>
    <t>Total Pasivos No Corrientes</t>
  </si>
  <si>
    <t>Total Pasivos</t>
  </si>
  <si>
    <t>Capital Emitido</t>
  </si>
  <si>
    <t>Primas de Emisión</t>
  </si>
  <si>
    <t>Otras Reservas de Capital</t>
  </si>
  <si>
    <t>Resultados Acumulados</t>
  </si>
  <si>
    <t>Otras Reservas de Patrimonio</t>
  </si>
  <si>
    <t>Total Patrimonio</t>
  </si>
  <si>
    <t>TOTAL PASIVO Y PATRIMONIO</t>
  </si>
  <si>
    <t>Promedio EERR</t>
  </si>
  <si>
    <t>Ingresos de Actividades Ordinarias</t>
  </si>
  <si>
    <t>Costo de Ventas</t>
  </si>
  <si>
    <t>Ganancia (Pérdida) Bruta</t>
  </si>
  <si>
    <t>Gastos de Ventas y Distribución</t>
  </si>
  <si>
    <t>Gastos de Administración</t>
  </si>
  <si>
    <t>Otros Ingresos Operativos</t>
  </si>
  <si>
    <t>Otros Gastos Operativos</t>
  </si>
  <si>
    <t>Ganancia (Pérdida) Operativa</t>
  </si>
  <si>
    <t>Ingresos Financieros</t>
  </si>
  <si>
    <t>Gastos Financieros</t>
  </si>
  <si>
    <t>Diferencias de Cambio Neto</t>
  </si>
  <si>
    <t>Ganancia (Pérdida) antes de Impuestos</t>
  </si>
  <si>
    <t>Ingreso (Gasto) por Impuesto</t>
  </si>
  <si>
    <t>Ganancia (Pérdida) Neta de Operaciones Continuadas</t>
  </si>
  <si>
    <t>Ganancia (Pérdida) Neta del Ejercicio</t>
  </si>
  <si>
    <t>Básica por Acción Ordinaria</t>
  </si>
  <si>
    <t>Total de Ganancias (Pérdida) Básica por Acción Ordinaria</t>
  </si>
  <si>
    <t>Diluida por Acción Ordinaria en Operaciones Continuadas</t>
  </si>
  <si>
    <t>Total de Ganancias (Pérdida) Diluida por Acción Ordinaria</t>
  </si>
  <si>
    <t>Flujo de Efectivo de Actividades de Operación</t>
  </si>
  <si>
    <t>Clases de Cobros en Efectivo por Actividades de Operación</t>
  </si>
  <si>
    <t>Venta de Bienes y Prestación de Servicios</t>
  </si>
  <si>
    <t>Regalías, Cuotas, Comisiones, Otros Ingresos de Actividades Ordinarias</t>
  </si>
  <si>
    <t>Contratos Mantenidos con Propósito de Intermediación o para Negociar</t>
  </si>
  <si>
    <t>Arrendamiento y Posterior Venta de Activos Mantenidos para Arrendar a Terceros</t>
  </si>
  <si>
    <t>Otros Cobros de Efectivo Relativos a las Actividades de Operación</t>
  </si>
  <si>
    <t>Clases de Pagos en Efectivo por Actividades de Operación</t>
  </si>
  <si>
    <t>Proveedores de Bienes y Servicios</t>
  </si>
  <si>
    <t>Pagos a y por Cuenta de los Empleados</t>
  </si>
  <si>
    <t>Elaboración o Adquisición de Activos para Arrendar y Otros Mantenidos para la Venta</t>
  </si>
  <si>
    <t>Otros Pagos de Efectivo Relativos a las Actividades de Operación</t>
  </si>
  <si>
    <t>Flujos de Efectivo y Equivalente al Efectivo procedente de (utilizados en) Operaciones</t>
  </si>
  <si>
    <t>Intereses Recibidos (no incluidos en la Actividad de Inversión)</t>
  </si>
  <si>
    <t>Intereses Pagados (no incluidos en la Actividad de Financiación)</t>
  </si>
  <si>
    <t>Dividendos Recibidos (no incluidos en la Actividad de Inversión)</t>
  </si>
  <si>
    <t>Dividendos Pagados (no incluidos en la Actividad de Financiación)</t>
  </si>
  <si>
    <t>Impuestos a las Ganancias (Pagados) Reembolsados</t>
  </si>
  <si>
    <t>Otros Cobros (Pagos) de Efectivo</t>
  </si>
  <si>
    <t>Flujos de Efectivo y Equivalente al Efectivo procedente de (utilizados en) Actividades de Operación</t>
  </si>
  <si>
    <t>Flujo de Efectivo de Actividades de Inversión</t>
  </si>
  <si>
    <t>Clases de Cobros en Efectivo por Actividades de Inversión</t>
  </si>
  <si>
    <t>Reembolso de Adelantos de Préstamos y Préstamos Concedidos a Terceros</t>
  </si>
  <si>
    <t>Pérdida de Control de Subsidiarias u Otros Negocios</t>
  </si>
  <si>
    <t>Reembolsos Recibidos de Préstamos a Entidades Relacionadas</t>
  </si>
  <si>
    <t>Venta de Instrumentos Financieros de Patrimonio o Deuda de Otras Entidades</t>
  </si>
  <si>
    <t>Contratos Derivados (Futuro, a Término, Opciones)</t>
  </si>
  <si>
    <t>Venta de Participaciones en Negocios Conjuntos, Neto Del Efectivo Desapropiado</t>
  </si>
  <si>
    <t>Venta de Propiedades, Planta y Equipo</t>
  </si>
  <si>
    <t>Venta de Activos Intangibles</t>
  </si>
  <si>
    <t>Venta de Otros Activos de Largo Plazo</t>
  </si>
  <si>
    <t>Subvenciones del Gobierno</t>
  </si>
  <si>
    <t>Intereses Recibidos</t>
  </si>
  <si>
    <t>Dividendos Recibidos</t>
  </si>
  <si>
    <t>Clases de Pagos en Efectivo por Actividades de Inversión</t>
  </si>
  <si>
    <t>Préstamos Concedidos a Terceros</t>
  </si>
  <si>
    <t>Obtener el Control de Subsidiarias u Otros Negocios</t>
  </si>
  <si>
    <t>Prestamos Concedidos a Entidades Relacionadas</t>
  </si>
  <si>
    <t>Compra de Instrumentos Financieros de Patrimonio o Deuda de Otras Entidades</t>
  </si>
  <si>
    <t>Compra de Subsidiarias, Neto del Efectivo Adquirido</t>
  </si>
  <si>
    <t>Compra de Participaciones en Negocios Conjuntos, Neto del Efectivo Adquirido</t>
  </si>
  <si>
    <t>Compra de Propiedades, Planta y Equipo</t>
  </si>
  <si>
    <t>Compra de Activos Intangibles</t>
  </si>
  <si>
    <t>Compra de Otros Activos de Largo Plazo</t>
  </si>
  <si>
    <t>Otros Cobros (Pagos) de Efectivo Relativos a las Actividades de Inversión</t>
  </si>
  <si>
    <t>Flujos de Efectivo y Equivalente al Efectivo procedente de (utilizados en) Actividades de Inversión</t>
  </si>
  <si>
    <t>Flujo de Efectivo de Actividades de Financiación</t>
  </si>
  <si>
    <t>Clases de Cobros en Efectivo por Actividades de Financiación:</t>
  </si>
  <si>
    <t>Obtención de Préstamos</t>
  </si>
  <si>
    <t>Préstamos de Entidades Relacionadas</t>
  </si>
  <si>
    <t>Cambios en las Participaciones en la Propiedad de Subsidiarias que no Resultan en Pérdida de Control</t>
  </si>
  <si>
    <t>Emisión de Acciones</t>
  </si>
  <si>
    <t>Emisión de Otros Instrumentos de Patrimonio</t>
  </si>
  <si>
    <t>Clases de Pagos en Efectivo por Actividades de Financiación:</t>
  </si>
  <si>
    <t>Amortización o Pago de Préstamos</t>
  </si>
  <si>
    <t>Pasivos por Arrendamiento Financiero</t>
  </si>
  <si>
    <t>Recompra o Rescate de Acciones de la Entidad (Acciones en Cartera)</t>
  </si>
  <si>
    <t>Adquisición de Otras Participaciones en el Patrimonio</t>
  </si>
  <si>
    <t>Intereses Pagados</t>
  </si>
  <si>
    <t>Dividendos Pagados</t>
  </si>
  <si>
    <t>Otros Cobros (Pagos) de Efectivo Relativos a las Actividades de Financiación</t>
  </si>
  <si>
    <t>Flujos de Efectivo y Equivalente al Efectivo procedente de (utilizados en) Actividades de Financiación</t>
  </si>
  <si>
    <t>Aumento (Disminución) Neto de Efectivo y Equivalente al Efectivo, antes de las Variaciones en las Tasas de Cambio</t>
  </si>
  <si>
    <t>Efectos de las Variaciones en las Tasas de Cambio sobre el Efectivo y Equivalentes al Efectivo</t>
  </si>
  <si>
    <t>Aumento (Disminución) Neto de Efectivo y Equivalente al Efectivo</t>
  </si>
  <si>
    <t>Efectivo y Equivalente al Efectivo al Inicio del Ejercicio</t>
  </si>
  <si>
    <t>Efectivo y Equivalente al Efectivo al Finalizar el Ejercicio</t>
  </si>
  <si>
    <t>Cuentas por cobrar totales</t>
  </si>
  <si>
    <t>Cuentas por pagar totales</t>
  </si>
  <si>
    <t>Proy 2024</t>
  </si>
  <si>
    <t>TOTAL PASIVOS</t>
  </si>
  <si>
    <t>TOTAL PATRIMONIO</t>
  </si>
  <si>
    <t>Balance Pro Forma</t>
  </si>
  <si>
    <t>ACTIVO NO CORRIENTE</t>
  </si>
  <si>
    <t>ACTIVO CORRIENTE</t>
  </si>
  <si>
    <t>Activos</t>
  </si>
  <si>
    <t>Pasivo y Patrimonio</t>
  </si>
  <si>
    <t>Valores</t>
  </si>
  <si>
    <t>Otros activos corrientes</t>
  </si>
  <si>
    <t>Activo Fijo Neto</t>
  </si>
  <si>
    <t>Otros activos No Corrientes</t>
  </si>
  <si>
    <t>Otros pasivos corrientes</t>
  </si>
  <si>
    <t>Proveedores</t>
  </si>
  <si>
    <t>Deuda Financiera de Corto Plazo</t>
  </si>
  <si>
    <t>Otro pasivo no corriente</t>
  </si>
  <si>
    <t>Patrimonio</t>
  </si>
  <si>
    <t>TOTAL ACTIVOS NO CORRIENTES</t>
  </si>
  <si>
    <t xml:space="preserve">TOTAL ACTIVOS CORRIENTES  </t>
  </si>
  <si>
    <t>Deuda Financiera de Largo plazo</t>
  </si>
  <si>
    <t>TOTAL ACTIVOS</t>
  </si>
  <si>
    <t>TOTAL PASIVO CORRIENTE</t>
  </si>
  <si>
    <t>TOTAL PASIVO NO CORRIENTE</t>
  </si>
  <si>
    <t>Cuentass por pagar a instituciones relacionadas</t>
  </si>
  <si>
    <t>Cuentas por pagar comerciales</t>
  </si>
  <si>
    <t>Necesidades Futuras de Fondo</t>
  </si>
  <si>
    <t>Rubros</t>
  </si>
  <si>
    <t>Unidades</t>
  </si>
  <si>
    <t>Pu</t>
  </si>
  <si>
    <t>Q</t>
  </si>
  <si>
    <t>Ventas al contado</t>
  </si>
  <si>
    <t>Ventas al crédito</t>
  </si>
  <si>
    <t>Trimestre</t>
  </si>
  <si>
    <t>Participación total</t>
  </si>
  <si>
    <t>1T</t>
  </si>
  <si>
    <t>2T</t>
  </si>
  <si>
    <t>3T</t>
  </si>
  <si>
    <t>4T</t>
  </si>
  <si>
    <t>Ingreso</t>
  </si>
  <si>
    <t>Industria</t>
  </si>
  <si>
    <t>Construcción Civil</t>
  </si>
  <si>
    <t>Minería</t>
  </si>
  <si>
    <t>Sector de mercado</t>
  </si>
  <si>
    <t>Mercado territorial</t>
  </si>
  <si>
    <t>Mercado Local</t>
  </si>
  <si>
    <t>Mercado Externo</t>
  </si>
  <si>
    <t>Total</t>
  </si>
  <si>
    <t>Participación</t>
  </si>
  <si>
    <t>Participación parcial</t>
  </si>
  <si>
    <t>Ventas 2023</t>
  </si>
  <si>
    <t>TOTAL ANUAL</t>
  </si>
  <si>
    <t>Cuadro de Venta histórico 2023</t>
  </si>
  <si>
    <t>Presupuesto de Ventas proyectado</t>
  </si>
  <si>
    <t>Presupuesto de Ventas proyectado segmentado</t>
  </si>
  <si>
    <t>TM</t>
  </si>
  <si>
    <t>Producción anual histórica</t>
  </si>
  <si>
    <t>TM producidas</t>
  </si>
  <si>
    <t>Proyección de Ventas</t>
  </si>
  <si>
    <t>Ingresos al contado y crédito históricos</t>
  </si>
  <si>
    <t>Ventas al crédito (CXC)</t>
  </si>
  <si>
    <t>Ingresos totales</t>
  </si>
  <si>
    <t>Part. Vent. Contado</t>
  </si>
  <si>
    <t>Part. Vent. Crédito</t>
  </si>
  <si>
    <t>Ingresos al contado y crédito proyectado al 2024</t>
  </si>
  <si>
    <t>Producción anual proyectada</t>
  </si>
  <si>
    <t>g = tasa de crecimiento industrial</t>
  </si>
  <si>
    <t>MOD</t>
  </si>
  <si>
    <t>MTD</t>
  </si>
  <si>
    <t>CIF</t>
  </si>
  <si>
    <t>HH</t>
  </si>
  <si>
    <t>S/</t>
  </si>
  <si>
    <t>Otros</t>
  </si>
  <si>
    <t xml:space="preserve">Costo totales </t>
  </si>
  <si>
    <t>IIPT</t>
  </si>
  <si>
    <t>Requerimiento de ventas</t>
  </si>
  <si>
    <t>IFPT</t>
  </si>
  <si>
    <t>Unidades a producir</t>
  </si>
  <si>
    <t>Los requerimientos para la realización de productos es de 5 horas hombre por cada TM producida y 1.5 TM de insumos en general por cada TM de acero producido; ambos factores permanecen constante en los 4 trimestre.</t>
  </si>
  <si>
    <t>La política de Inventario es mantener  10% de la cantidades proyectadas para cada periodo al termino de este</t>
  </si>
  <si>
    <t>Así como, iniciar cada año con 30 000 TM Estas proyecciones se realizan con el nivel de producción trimestral del año 2023 y con una tasa de crecimiento del 5%.</t>
  </si>
  <si>
    <t>Gastos de Ventas</t>
  </si>
  <si>
    <t>Presupuesto de Gastos Generales</t>
  </si>
  <si>
    <t>Gastos de personal</t>
  </si>
  <si>
    <t>Servicios de publicidad y Marketing</t>
  </si>
  <si>
    <t>Servicios prestados por terceros</t>
  </si>
  <si>
    <t>Depreciación</t>
  </si>
  <si>
    <t>Estimación de recupero para deterioro de cuentas por cobrar</t>
  </si>
  <si>
    <t>Total trimestral</t>
  </si>
  <si>
    <t>Gastos Administrativos</t>
  </si>
  <si>
    <t>Gasto de personal</t>
  </si>
  <si>
    <t>Servicios de asesoria</t>
  </si>
  <si>
    <t>Amortización</t>
  </si>
  <si>
    <t>Servicio de suscripción de medios de información</t>
  </si>
  <si>
    <t>Gastos de viaje</t>
  </si>
  <si>
    <t>Servicios de v igilancia</t>
  </si>
  <si>
    <t>Impuestos a las transacciones financieras</t>
  </si>
  <si>
    <t>Tributos</t>
  </si>
  <si>
    <t>Otros Ingresos</t>
  </si>
  <si>
    <t>Intereses por depósitos a plazos</t>
  </si>
  <si>
    <t>Interes por cuentas por cobrar comerciales</t>
  </si>
  <si>
    <t>Intereses por otras cuentas por cobrar</t>
  </si>
  <si>
    <t>Intereses por arrendamiento operativo</t>
  </si>
  <si>
    <t>Intereses por préstamos bancarios</t>
  </si>
  <si>
    <t>Otros menores</t>
  </si>
  <si>
    <t>Total trimestral de Otros Ingresos</t>
  </si>
  <si>
    <t>Total trimestral de Otros gastos</t>
  </si>
  <si>
    <t>Ingresos por Ventas</t>
  </si>
  <si>
    <t>Costos de Ventas</t>
  </si>
  <si>
    <t>Utilidad Bruta</t>
  </si>
  <si>
    <t>Otros Gastos</t>
  </si>
  <si>
    <t>Utilidad Operativa</t>
  </si>
  <si>
    <t>Otros Ingresos Financieros</t>
  </si>
  <si>
    <t>Otros Gastos Financieros</t>
  </si>
  <si>
    <t>Utilidad ante de impuestos</t>
  </si>
  <si>
    <t>Impuestos</t>
  </si>
  <si>
    <t>Utilidad Neta</t>
  </si>
  <si>
    <t>Anual</t>
  </si>
  <si>
    <t>Los costos para Matariales Indirectos de Fabricación son variables respecto a la variación del precio de cobre; s/1720 para el 1T; s/ 1680, para 2T; s/ 1640, para 3T y s/ 1660 para el último trimestre</t>
  </si>
  <si>
    <t>Los costos CIF son totales, de manera trimestral, y tienen un 30% participación del total de Costos Totales en promedio.</t>
  </si>
  <si>
    <t>Los costos para Mano de Obra Directa (MOD) se proyecta en s/12 para todo el año</t>
  </si>
  <si>
    <t>Planeamiento Financiero de la empresa Siderperu S.A.A.</t>
  </si>
  <si>
    <t>1) Proyección de las principales cuentas del Estado de Situación Financiera</t>
  </si>
  <si>
    <t>2) Proyección del crecimiento de las principales cuentas del Estado de Situación Financiera</t>
  </si>
  <si>
    <t>Nota: Este análisis se realiza a partir de los datos históricos presentado en los Estados Financieros 2012-2013</t>
  </si>
  <si>
    <t>3) Estado de Situación Financiera proyectado y comparado con el año 2023</t>
  </si>
  <si>
    <t>Nota: La proyección se realiza con las variaciones presentadas en en cuadro anterior, ceteris paribus.</t>
  </si>
  <si>
    <t>Nota. Esta información es constituida a partir de la información de Planeamiento Financiero.</t>
  </si>
  <si>
    <t>2) Balance Contable proyectado</t>
  </si>
  <si>
    <t>Nota: se elabora a partir de la proyección de las cuentas del Estado de Situación Financiera</t>
  </si>
  <si>
    <t>Se realiza una proyección utilizando la proyección del crecimiento de las principales cuentas del ESF.</t>
  </si>
  <si>
    <t>La proyección del crecimiento se realiza a partir de la participación de las cuentas (variables) respecto al nivel de ventas.</t>
  </si>
  <si>
    <t>La empresa mantiene una política de reducción de Cuents por Cobrar y Cuentas por Pagar, tras la pandemia COVID.19. Se asume un valor promedio previo a la pandemia de 0% y 24%, respectivamente.</t>
  </si>
  <si>
    <t>A partir de la información presentada, se realiza el ESF proyectado utilizando las variables (cuentas) modificadas.</t>
  </si>
  <si>
    <t>1) Necesidad Operativa de Fondos</t>
  </si>
  <si>
    <t>Se elabora la estructura resumida del Estado de Situación Financiera proyectado y se contabilizar el NOF.</t>
  </si>
  <si>
    <t>3) Balance Financiero proyectado</t>
  </si>
  <si>
    <t>Se elabora a partir del Balance Contable y se determina la estructura óptima del capital con la participación del NOF.</t>
  </si>
  <si>
    <t>Nota: el balance financiero se determina y se encuentra la estructura optima de los pasivos corrientes y no corrientes</t>
  </si>
  <si>
    <r>
      <t>Las</t>
    </r>
    <r>
      <rPr>
        <b/>
        <i/>
        <sz val="11"/>
        <color theme="1"/>
        <rFont val="Aptos Narrow"/>
        <family val="2"/>
        <scheme val="minor"/>
      </rPr>
      <t xml:space="preserve"> Necesidad Futuras de Fondos se financian en deuda de corto plazo</t>
    </r>
    <r>
      <rPr>
        <i/>
        <sz val="11"/>
        <color theme="1"/>
        <rFont val="Aptos Narrow"/>
        <family val="2"/>
        <scheme val="minor"/>
      </rPr>
      <t xml:space="preserve"> y se registra en Pasivos Corrientes</t>
    </r>
  </si>
  <si>
    <t xml:space="preserve">Presupueto de Venta y Producción </t>
  </si>
  <si>
    <t>1.a) Política Comercial</t>
  </si>
  <si>
    <t>1.b) Resultados económicos</t>
  </si>
  <si>
    <t xml:space="preserve">1) Presupuesto de Ventas </t>
  </si>
  <si>
    <t>La empresa presenta un nivel de ingresos por ventas de de s/ 2.63 billones proyectados</t>
  </si>
  <si>
    <t>El precio de venta al contado promedio con proyección de datos histórica es de s/ 4 279.86 por TM; sin embargo, para un mejor mejor análisis, es redondeado a s/ 4 200.</t>
  </si>
  <si>
    <t>Total Anual</t>
  </si>
  <si>
    <t>Los precios promedios de ventas totales son de s/ 4 471, s/ 4 535, s/ 4 527 y s/ 4493 para los periodos 1T, 2T, 3T y  4T, respectivamente</t>
  </si>
  <si>
    <r>
      <t xml:space="preserve">Los resultados parciales muestra una caída de precio en los trimestre siguientes debido a la estabilidad del precio del cobre. Por ello, en el presupueto de ventas, se ve afectado principalmente por el </t>
    </r>
    <r>
      <rPr>
        <b/>
        <sz val="11"/>
        <color theme="1"/>
        <rFont val="Aptos Narrow"/>
        <family val="2"/>
        <scheme val="minor"/>
      </rPr>
      <t>Efecto Precio</t>
    </r>
    <r>
      <rPr>
        <sz val="11"/>
        <color theme="1"/>
        <rFont val="Aptos Narrow"/>
        <family val="2"/>
        <scheme val="minor"/>
      </rPr>
      <t xml:space="preserve">, seguido del </t>
    </r>
    <r>
      <rPr>
        <b/>
        <sz val="11"/>
        <color theme="1"/>
        <rFont val="Aptos Narrow"/>
        <family val="2"/>
        <scheme val="minor"/>
      </rPr>
      <t>Efecto Volumen.</t>
    </r>
  </si>
  <si>
    <t>2) Presupuesto de Producción</t>
  </si>
  <si>
    <t>2.a) Política de Costos</t>
  </si>
  <si>
    <t>2.b) Políticas de Inventario</t>
  </si>
  <si>
    <t>Así mismo, se detalla el promedio histórico de la participación de las cuentas de Costo de Ventas</t>
  </si>
  <si>
    <t>Así mismo, se detalla el nivel proyectado de producción a partir de información histórica y de la tasa de crecimiento del sector siderúrgico, industrial y minero.</t>
  </si>
  <si>
    <t xml:space="preserve">Así mismo, se detalla el nivel histórico de producción a partir de información histórica del año 2023. </t>
  </si>
  <si>
    <t>2.c) Resultados económicos</t>
  </si>
  <si>
    <t>Se evidencia un nivel de costo total anual de s/ 2.145 billones proyectado.</t>
  </si>
  <si>
    <t>Así mismo, se proyecta un nivel total dede 584 136 TM producidas para el año 2024, siendo - 4 TM de las proyectadas con el crecimiento de la industria.</t>
  </si>
  <si>
    <t>La empresa cubre con su Inventario Inicial de Productos Terminados  (IIPT) e Inventrio Final de Productos Terminados (IFPT) teniendo capital de trabajo no ocioso, acorde a la política interna.</t>
  </si>
  <si>
    <t>Se evidencia un decrecimiento total en los costos productivos de la empresa; de s/ 3 771, s/ 3 686, s/ 3 600 y s/ 3 643 para 1T, 2T, 3T y 4T, respectivamente.</t>
  </si>
  <si>
    <t>Este decrecimiento total en los costos es impulsado por la reducción de los costos de insumos en Materiales Directos (MD) bajo el supuesto de la estabilidad de precios del acero.</t>
  </si>
  <si>
    <t>1) Gastos de Ventas</t>
  </si>
  <si>
    <t>Se realiza el presupuestos de Gastos de Ventas con los datos de las cuentas del año 2023. Se asume que no existe variación de los gastos.</t>
  </si>
  <si>
    <t>2) Gastos Administrativos</t>
  </si>
  <si>
    <t>Se realiza el presupuestos de Gastos Administrativos con los datos de las cuentas del año 2023. Se asume que no existe variación de los gastos.</t>
  </si>
  <si>
    <t>3) Otros Ingresos</t>
  </si>
  <si>
    <t>Se realiza el presupuestos de Otros Ingresos con los datos de las cuentas del año 2023. Se asume que no existe variación de los gastos.</t>
  </si>
  <si>
    <t>Nota: Comprende la recuperación de activos contables como estimaciones de ejercicios anteriores, chatarra de activo fijo, siniestros, de cuentas por cobrar provisionales y contratos leasing</t>
  </si>
  <si>
    <t>Nota: Comprende sanciones administrativas fiscales, gastos de años anteriores y costos de enajenación de propiedad, planta y equipo.</t>
  </si>
  <si>
    <t>4) Otros gastos</t>
  </si>
  <si>
    <t>5) Ingresos  Financieros</t>
  </si>
  <si>
    <t>6) Gastos Financieros</t>
  </si>
  <si>
    <t>Se realiza el presupuestos de Otros Gastos con los datos de las cuentas del año 2023. Se asume que no existe variación de los gastos.</t>
  </si>
  <si>
    <t>Se realiza el presupuestos de Ingresos Financiera con los datos de las cuentas del año 2023. Se asume que no existe variación de los gastos.</t>
  </si>
  <si>
    <t>Se realiza el presupuestos de Gastos Financieros con los datos de las cuentas del año 2023. Se asume que no existe variación de los gastos.</t>
  </si>
  <si>
    <t>Se presenta el Presupuesto de Gastos Generales por cada una de sus cuentas para un mayor análisis.</t>
  </si>
  <si>
    <t>Nota: Estado de Resultado expresado en miles de s/</t>
  </si>
  <si>
    <t>Se elabora el presupuesto de Ventas y se presentan las políticas Comerciales de la empresas y sus resultados parciales y totales. (Para un mejor análisis, está expresado en soles s/)</t>
  </si>
  <si>
    <t>Se elabora el presupuesto de Producción a través de la Política de costos e inventarios. Ambas se detallan al finalizar el cuadro (Para un mejor análisis, está expresado en soles s/)</t>
  </si>
  <si>
    <t>Total anual</t>
  </si>
  <si>
    <t>Ingresos Operativos</t>
  </si>
  <si>
    <t>Egresos Operativos</t>
  </si>
  <si>
    <t>Costos de Venta</t>
  </si>
  <si>
    <t>Gastos de ventas</t>
  </si>
  <si>
    <t>Ingresos Netos Operativos</t>
  </si>
  <si>
    <t>Saldo Inicial</t>
  </si>
  <si>
    <t>Saldo Final</t>
  </si>
  <si>
    <t>Capital de trabajo</t>
  </si>
  <si>
    <t>Administración del Capital de Trabajo</t>
  </si>
  <si>
    <t>1) Cash management</t>
  </si>
  <si>
    <t>Ciclo de Caja</t>
  </si>
  <si>
    <t>Rotación de Inventarios</t>
  </si>
  <si>
    <t>Rotación de cuentas por cobrar</t>
  </si>
  <si>
    <t>Rotación de Cuentas por Cobrar</t>
  </si>
  <si>
    <t>Caja Mínima</t>
  </si>
  <si>
    <t>Capital de Trabajo Bruto</t>
  </si>
  <si>
    <t>Capital de Trabajo Neto</t>
  </si>
  <si>
    <t>Financiamiento</t>
  </si>
  <si>
    <t>Actividades de Financiamiento</t>
  </si>
  <si>
    <t>Actividades de Inversión</t>
  </si>
  <si>
    <t>Inversión</t>
  </si>
  <si>
    <t>Rentabilidad de Inversión</t>
  </si>
  <si>
    <t>Pagos de deudas de CP nuevas</t>
  </si>
  <si>
    <t>Flujo de caja</t>
  </si>
  <si>
    <t>1) Estado de Resultados proyectado para el año 2024</t>
  </si>
  <si>
    <t>Se presenta el EERR proyectado con los valores proyectado en los análisis anteriores.</t>
  </si>
  <si>
    <t>2) Flow Cash proyectado (sin financiamiento ni inversión)</t>
  </si>
  <si>
    <t>El Flow Cash se proyecta con los valores de la empresa</t>
  </si>
  <si>
    <t>3) Flow Cash proyectado con financiamiento e inversión</t>
  </si>
  <si>
    <t>A fin de cumplir con el análisis del Capital de T rabajo, se presenta el Flow Cash proyectado con los valores respaldados por cada presupuesto individual.</t>
  </si>
  <si>
    <t>Precio de Venta unitario</t>
  </si>
  <si>
    <t>Costo Variable</t>
  </si>
  <si>
    <t>Costo Fijo</t>
  </si>
  <si>
    <t>MD</t>
  </si>
  <si>
    <t>Costo operativo</t>
  </si>
  <si>
    <t>Cantidad producida</t>
  </si>
  <si>
    <t>Costo financiero</t>
  </si>
  <si>
    <t>Costos de Venta unitario</t>
  </si>
  <si>
    <t>Punto de equilibrio</t>
  </si>
  <si>
    <t>Dato</t>
  </si>
  <si>
    <t>Valor (s/ o TM)</t>
  </si>
  <si>
    <t>Total parcial</t>
  </si>
  <si>
    <t xml:space="preserve">Total </t>
  </si>
  <si>
    <t>Resultados</t>
  </si>
  <si>
    <t>Valor</t>
  </si>
  <si>
    <t>Necesidad Futura de Fondos</t>
  </si>
  <si>
    <t>Tasa de Retorno de la Inversión</t>
  </si>
  <si>
    <t>Ingresos</t>
  </si>
  <si>
    <t>Costos</t>
  </si>
  <si>
    <t>Utilidad</t>
  </si>
  <si>
    <t>Valo (Q real)</t>
  </si>
  <si>
    <t>Valor (Q equilibrio)</t>
  </si>
  <si>
    <t>Esquema Du Pont</t>
  </si>
  <si>
    <t>Activos operativos</t>
  </si>
  <si>
    <t>TRI</t>
  </si>
  <si>
    <t>Indicador</t>
  </si>
  <si>
    <t>Costo de Oportunidad del Capital</t>
  </si>
  <si>
    <t>Tasa de Riesgo País</t>
  </si>
  <si>
    <t>Tasa de inflación</t>
  </si>
  <si>
    <t>Tasaa</t>
  </si>
  <si>
    <t>Valores (%)</t>
  </si>
  <si>
    <t>Tasa de deuda</t>
  </si>
  <si>
    <t>Costo de Oportunidad</t>
  </si>
  <si>
    <t>WACC (2019)</t>
  </si>
  <si>
    <t>Año</t>
  </si>
  <si>
    <t>Presupuesto 1T24</t>
  </si>
  <si>
    <t>Ejecutado 1T24</t>
  </si>
  <si>
    <t>Variación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</si>
</sst>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[$S/-280A]\ * #,##0.00_-;\-[$S/-280A]\ * #,##0.00_-;_-[$S/-280A]\ * &quot;-&quot;??_-;_-@_-"/>
    <numFmt numFmtId="165" formatCode="_-[$S/-280A]\ * #,##0_-;\-[$S/-280A]\ * #,##0_-;_-[$S/-280A]\ * &quot;-&quot;??_-;_-@_-"/>
    <numFmt numFmtId="166" formatCode="0.0"/>
    <numFmt numFmtId="167" formatCode="_-[$S/-280A]\ * #,##0.000_-;\-[$S/-280A]\ * #,##0.000_-;_-[$S/-280A]\ 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sz val="8"/>
      <color theme="1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8"/>
      <color rgb="FFFFFFFF"/>
      <name val="Calibri"/>
      <family val="2"/>
    </font>
    <font>
      <b/>
      <sz val="8"/>
      <color rgb="FF00000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2"/>
      <name val="Calibri"/>
      <family val="2"/>
    </font>
    <font>
      <b/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337AB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2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5" fillId="0" borderId="2" xfId="0" applyFont="1" applyBorder="1" applyAlignment="1">
      <alignment horizontal="right" wrapText="1"/>
    </xf>
    <xf numFmtId="0" fontId="4" fillId="2" borderId="1" xfId="0" applyFont="1" applyFill="1" applyBorder="1" applyAlignment="1">
      <alignment horizontal="center" vertical="center"/>
    </xf>
    <xf numFmtId="164" fontId="5" fillId="0" borderId="0" xfId="0" applyNumberFormat="1" applyFont="1"/>
    <xf numFmtId="164" fontId="6" fillId="0" borderId="0" xfId="0" applyNumberFormat="1" applyFont="1"/>
    <xf numFmtId="164" fontId="6" fillId="0" borderId="2" xfId="0" applyNumberFormat="1" applyFont="1" applyBorder="1" applyAlignment="1">
      <alignment horizontal="right"/>
    </xf>
    <xf numFmtId="164" fontId="5" fillId="0" borderId="2" xfId="0" applyNumberFormat="1" applyFont="1" applyBorder="1" applyAlignment="1">
      <alignment horizontal="right"/>
    </xf>
    <xf numFmtId="0" fontId="8" fillId="4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/>
    </xf>
    <xf numFmtId="0" fontId="5" fillId="0" borderId="0" xfId="0" applyFont="1" applyAlignment="1">
      <alignment horizontal="right" wrapText="1"/>
    </xf>
    <xf numFmtId="164" fontId="5" fillId="0" borderId="0" xfId="0" applyNumberFormat="1" applyFont="1" applyAlignment="1">
      <alignment horizontal="right"/>
    </xf>
    <xf numFmtId="0" fontId="5" fillId="0" borderId="5" xfId="0" applyFont="1" applyBorder="1" applyAlignment="1">
      <alignment horizontal="right" wrapText="1"/>
    </xf>
    <xf numFmtId="164" fontId="5" fillId="0" borderId="5" xfId="0" applyNumberFormat="1" applyFont="1" applyBorder="1" applyAlignment="1">
      <alignment horizontal="right"/>
    </xf>
    <xf numFmtId="164" fontId="6" fillId="0" borderId="5" xfId="0" applyNumberFormat="1" applyFont="1" applyBorder="1" applyAlignment="1">
      <alignment horizontal="right"/>
    </xf>
    <xf numFmtId="0" fontId="5" fillId="0" borderId="1" xfId="0" applyFont="1" applyBorder="1" applyAlignment="1">
      <alignment wrapText="1"/>
    </xf>
    <xf numFmtId="164" fontId="5" fillId="0" borderId="1" xfId="0" applyNumberFormat="1" applyFont="1" applyBorder="1"/>
    <xf numFmtId="164" fontId="6" fillId="0" borderId="0" xfId="0" applyNumberFormat="1" applyFont="1" applyAlignment="1">
      <alignment horizontal="right"/>
    </xf>
    <xf numFmtId="164" fontId="10" fillId="0" borderId="5" xfId="0" applyNumberFormat="1" applyFont="1" applyBorder="1" applyAlignment="1">
      <alignment horizontal="right"/>
    </xf>
    <xf numFmtId="164" fontId="9" fillId="0" borderId="5" xfId="0" applyNumberFormat="1" applyFont="1" applyBorder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5" fillId="0" borderId="0" xfId="0" applyFont="1"/>
    <xf numFmtId="0" fontId="6" fillId="5" borderId="0" xfId="0" applyFont="1" applyFill="1"/>
    <xf numFmtId="0" fontId="5" fillId="5" borderId="0" xfId="0" applyFont="1" applyFill="1"/>
    <xf numFmtId="0" fontId="9" fillId="0" borderId="5" xfId="0" applyFont="1" applyBorder="1" applyAlignment="1">
      <alignment horizontal="right"/>
    </xf>
    <xf numFmtId="164" fontId="10" fillId="0" borderId="0" xfId="0" applyNumberFormat="1" applyFont="1"/>
    <xf numFmtId="0" fontId="6" fillId="0" borderId="0" xfId="0" applyFont="1"/>
    <xf numFmtId="0" fontId="10" fillId="0" borderId="5" xfId="0" applyFont="1" applyBorder="1" applyAlignment="1">
      <alignment horizontal="right"/>
    </xf>
    <xf numFmtId="0" fontId="6" fillId="5" borderId="0" xfId="0" applyFont="1" applyFill="1" applyAlignment="1">
      <alignment horizontal="right"/>
    </xf>
    <xf numFmtId="0" fontId="5" fillId="5" borderId="0" xfId="0" applyFont="1" applyFill="1" applyAlignment="1">
      <alignment horizontal="right"/>
    </xf>
    <xf numFmtId="0" fontId="6" fillId="5" borderId="5" xfId="0" applyFont="1" applyFill="1" applyBorder="1" applyAlignment="1">
      <alignment horizontal="right"/>
    </xf>
    <xf numFmtId="0" fontId="11" fillId="3" borderId="0" xfId="0" applyFont="1" applyFill="1" applyAlignment="1">
      <alignment horizontal="center"/>
    </xf>
    <xf numFmtId="164" fontId="11" fillId="3" borderId="0" xfId="0" applyNumberFormat="1" applyFont="1" applyFill="1" applyAlignment="1">
      <alignment horizontal="center"/>
    </xf>
    <xf numFmtId="164" fontId="12" fillId="0" borderId="0" xfId="0" applyNumberFormat="1" applyFont="1"/>
    <xf numFmtId="9" fontId="0" fillId="0" borderId="0" xfId="1" applyFont="1" applyAlignment="1">
      <alignment horizontal="center"/>
    </xf>
    <xf numFmtId="0" fontId="8" fillId="4" borderId="7" xfId="0" applyFont="1" applyFill="1" applyBorder="1" applyAlignment="1">
      <alignment horizontal="center" vertical="center"/>
    </xf>
    <xf numFmtId="164" fontId="5" fillId="0" borderId="7" xfId="0" applyNumberFormat="1" applyFont="1" applyBorder="1" applyAlignment="1">
      <alignment horizontal="right"/>
    </xf>
    <xf numFmtId="164" fontId="5" fillId="0" borderId="7" xfId="0" applyNumberFormat="1" applyFont="1" applyBorder="1"/>
    <xf numFmtId="0" fontId="8" fillId="4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right"/>
    </xf>
    <xf numFmtId="0" fontId="9" fillId="6" borderId="0" xfId="0" applyFont="1" applyFill="1"/>
    <xf numFmtId="164" fontId="9" fillId="6" borderId="0" xfId="0" applyNumberFormat="1" applyFont="1" applyFill="1"/>
    <xf numFmtId="0" fontId="10" fillId="6" borderId="0" xfId="0" applyFont="1" applyFill="1"/>
    <xf numFmtId="164" fontId="10" fillId="6" borderId="0" xfId="0" applyNumberFormat="1" applyFont="1" applyFill="1"/>
    <xf numFmtId="0" fontId="10" fillId="0" borderId="2" xfId="0" applyFont="1" applyBorder="1" applyAlignment="1">
      <alignment horizontal="right"/>
    </xf>
    <xf numFmtId="164" fontId="5" fillId="7" borderId="7" xfId="0" applyNumberFormat="1" applyFont="1" applyFill="1" applyBorder="1"/>
    <xf numFmtId="164" fontId="12" fillId="7" borderId="0" xfId="0" applyNumberFormat="1" applyFont="1" applyFill="1"/>
    <xf numFmtId="164" fontId="13" fillId="0" borderId="1" xfId="0" applyNumberFormat="1" applyFont="1" applyBorder="1"/>
    <xf numFmtId="164" fontId="0" fillId="8" borderId="3" xfId="0" applyNumberFormat="1" applyFill="1" applyBorder="1" applyAlignment="1">
      <alignment horizontal="center"/>
    </xf>
    <xf numFmtId="164" fontId="0" fillId="8" borderId="4" xfId="0" applyNumberFormat="1" applyFill="1" applyBorder="1" applyAlignment="1">
      <alignment horizontal="center"/>
    </xf>
    <xf numFmtId="164" fontId="7" fillId="2" borderId="3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6" xfId="0" applyBorder="1" applyAlignment="1">
      <alignment horizontal="center" vertical="center"/>
    </xf>
    <xf numFmtId="164" fontId="0" fillId="0" borderId="0" xfId="0" applyNumberFormat="1"/>
    <xf numFmtId="9" fontId="0" fillId="0" borderId="0" xfId="1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5" fillId="2" borderId="0" xfId="0" applyFont="1" applyFill="1" applyAlignment="1">
      <alignment horizontal="center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7" xfId="0" applyBorder="1"/>
    <xf numFmtId="0" fontId="0" fillId="0" borderId="1" xfId="0" applyBorder="1"/>
    <xf numFmtId="1" fontId="0" fillId="0" borderId="0" xfId="0" applyNumberFormat="1"/>
    <xf numFmtId="9" fontId="0" fillId="0" borderId="1" xfId="1" applyFont="1" applyBorder="1" applyAlignment="1">
      <alignment horizontal="center"/>
    </xf>
    <xf numFmtId="165" fontId="0" fillId="0" borderId="0" xfId="0" applyNumberFormat="1"/>
    <xf numFmtId="0" fontId="3" fillId="0" borderId="1" xfId="0" applyFont="1" applyBorder="1" applyAlignment="1">
      <alignment horizontal="right"/>
    </xf>
    <xf numFmtId="0" fontId="3" fillId="0" borderId="1" xfId="0" applyFont="1" applyBorder="1"/>
    <xf numFmtId="164" fontId="10" fillId="9" borderId="0" xfId="0" applyNumberFormat="1" applyFont="1" applyFill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vertical="center"/>
    </xf>
    <xf numFmtId="0" fontId="10" fillId="0" borderId="0" xfId="0" applyFont="1"/>
    <xf numFmtId="0" fontId="13" fillId="0" borderId="0" xfId="0" applyFont="1"/>
    <xf numFmtId="0" fontId="10" fillId="0" borderId="1" xfId="0" applyFont="1" applyBorder="1" applyAlignment="1">
      <alignment horizontal="left"/>
    </xf>
    <xf numFmtId="164" fontId="12" fillId="0" borderId="1" xfId="0" applyNumberFormat="1" applyFont="1" applyBorder="1"/>
    <xf numFmtId="0" fontId="10" fillId="0" borderId="1" xfId="0" applyFont="1" applyBorder="1"/>
    <xf numFmtId="0" fontId="10" fillId="0" borderId="1" xfId="0" applyFont="1" applyBorder="1" applyAlignment="1">
      <alignment horizontal="right"/>
    </xf>
    <xf numFmtId="0" fontId="5" fillId="0" borderId="1" xfId="0" applyFont="1" applyBorder="1" applyAlignment="1">
      <alignment horizontal="center" vertical="center" wrapText="1"/>
    </xf>
    <xf numFmtId="9" fontId="0" fillId="0" borderId="7" xfId="1" applyFont="1" applyBorder="1" applyAlignment="1">
      <alignment horizontal="center"/>
    </xf>
    <xf numFmtId="9" fontId="0" fillId="7" borderId="7" xfId="1" applyFont="1" applyFill="1" applyBorder="1" applyAlignment="1">
      <alignment horizontal="center"/>
    </xf>
    <xf numFmtId="0" fontId="14" fillId="0" borderId="0" xfId="0" applyFont="1"/>
    <xf numFmtId="164" fontId="10" fillId="8" borderId="0" xfId="0" applyNumberFormat="1" applyFont="1" applyFill="1" applyAlignment="1">
      <alignment horizontal="center"/>
    </xf>
    <xf numFmtId="164" fontId="10" fillId="8" borderId="5" xfId="0" applyNumberFormat="1" applyFont="1" applyFill="1" applyBorder="1" applyAlignment="1">
      <alignment horizontal="center"/>
    </xf>
    <xf numFmtId="164" fontId="10" fillId="8" borderId="1" xfId="0" applyNumberFormat="1" applyFont="1" applyFill="1" applyBorder="1" applyAlignment="1">
      <alignment horizontal="center"/>
    </xf>
    <xf numFmtId="164" fontId="10" fillId="0" borderId="1" xfId="0" applyNumberFormat="1" applyFont="1" applyBorder="1"/>
    <xf numFmtId="0" fontId="14" fillId="9" borderId="0" xfId="0" applyFont="1" applyFill="1"/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7" xfId="0" applyBorder="1" applyAlignment="1">
      <alignment horizontal="center"/>
    </xf>
    <xf numFmtId="165" fontId="0" fillId="0" borderId="7" xfId="0" applyNumberFormat="1" applyBorder="1"/>
    <xf numFmtId="165" fontId="0" fillId="0" borderId="1" xfId="0" applyNumberFormat="1" applyBorder="1"/>
    <xf numFmtId="1" fontId="0" fillId="0" borderId="1" xfId="0" applyNumberFormat="1" applyBorder="1"/>
    <xf numFmtId="0" fontId="0" fillId="0" borderId="1" xfId="0" applyBorder="1" applyAlignment="1">
      <alignment horizontal="center"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horizontal="center" vertical="center" wrapText="1"/>
    </xf>
    <xf numFmtId="167" fontId="0" fillId="0" borderId="0" xfId="0" applyNumberFormat="1" applyAlignment="1">
      <alignment wrapText="1"/>
    </xf>
    <xf numFmtId="167" fontId="0" fillId="0" borderId="1" xfId="0" applyNumberFormat="1" applyBorder="1" applyAlignment="1">
      <alignment wrapText="1"/>
    </xf>
    <xf numFmtId="166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wrapText="1"/>
    </xf>
    <xf numFmtId="0" fontId="0" fillId="0" borderId="0" xfId="0" applyAlignment="1">
      <alignment wrapText="1"/>
    </xf>
    <xf numFmtId="166" fontId="0" fillId="0" borderId="1" xfId="0" applyNumberFormat="1" applyBorder="1" applyAlignment="1">
      <alignment wrapText="1"/>
    </xf>
    <xf numFmtId="165" fontId="0" fillId="0" borderId="7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/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0" borderId="7" xfId="0" applyNumberFormat="1" applyBorder="1"/>
    <xf numFmtId="164" fontId="0" fillId="0" borderId="8" xfId="0" applyNumberFormat="1" applyBorder="1"/>
    <xf numFmtId="9" fontId="0" fillId="0" borderId="7" xfId="1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0" fillId="0" borderId="0" xfId="1" applyFont="1" applyBorder="1" applyAlignment="1">
      <alignment horizontal="center" vertical="center"/>
    </xf>
    <xf numFmtId="9" fontId="0" fillId="0" borderId="0" xfId="1" applyFont="1" applyBorder="1" applyAlignment="1">
      <alignment horizontal="center"/>
    </xf>
    <xf numFmtId="165" fontId="0" fillId="0" borderId="0" xfId="0" applyNumberFormat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7" xfId="0" applyBorder="1" applyAlignment="1">
      <alignment horizontal="left"/>
    </xf>
    <xf numFmtId="164" fontId="0" fillId="0" borderId="7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left"/>
    </xf>
    <xf numFmtId="0" fontId="0" fillId="0" borderId="8" xfId="0" applyBorder="1" applyAlignment="1">
      <alignment horizontal="left"/>
    </xf>
    <xf numFmtId="164" fontId="0" fillId="0" borderId="8" xfId="0" applyNumberFormat="1" applyBorder="1" applyAlignment="1">
      <alignment horizontal="left"/>
    </xf>
    <xf numFmtId="0" fontId="18" fillId="0" borderId="1" xfId="0" applyFont="1" applyBorder="1" applyAlignment="1">
      <alignment horizontal="center"/>
    </xf>
    <xf numFmtId="1" fontId="0" fillId="0" borderId="0" xfId="0" applyNumberFormat="1" applyAlignment="1">
      <alignment horizontal="right"/>
    </xf>
    <xf numFmtId="1" fontId="0" fillId="0" borderId="7" xfId="2" applyNumberFormat="1" applyFont="1" applyBorder="1" applyAlignment="1">
      <alignment horizontal="right"/>
    </xf>
    <xf numFmtId="0" fontId="0" fillId="0" borderId="1" xfId="0" applyBorder="1" applyAlignment="1">
      <alignment horizontal="left"/>
    </xf>
    <xf numFmtId="10" fontId="0" fillId="0" borderId="1" xfId="1" applyNumberFormat="1" applyFont="1" applyFill="1" applyBorder="1" applyAlignment="1">
      <alignment horizontal="center"/>
    </xf>
    <xf numFmtId="9" fontId="0" fillId="0" borderId="7" xfId="1" applyFont="1" applyBorder="1"/>
    <xf numFmtId="9" fontId="0" fillId="0" borderId="0" xfId="1" applyFont="1" applyAlignment="1"/>
    <xf numFmtId="9" fontId="0" fillId="0" borderId="1" xfId="1" applyFont="1" applyBorder="1" applyAlignment="1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4" fontId="0" fillId="0" borderId="8" xfId="0" applyNumberFormat="1" applyBorder="1" applyAlignment="1">
      <alignment vertical="center"/>
    </xf>
    <xf numFmtId="0" fontId="0" fillId="0" borderId="7" xfId="0" applyBorder="1" applyAlignment="1">
      <alignment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</cellXfs>
  <cellStyles count="3">
    <cellStyle name="Millares" xfId="2" builtinId="3"/>
    <cellStyle name="Normal" xfId="0" builtinId="0"/>
    <cellStyle name="Porcentaje" xfId="1" builtinId="5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337820</xdr:colOff>
      <xdr:row>4</xdr:row>
      <xdr:rowOff>9207</xdr:rowOff>
    </xdr:from>
    <xdr:ext cx="150361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12DE5926-C569-4933-9E0E-9A8F49638493}"/>
                </a:ext>
              </a:extLst>
            </xdr:cNvPr>
            <xdr:cNvSpPr txBox="1"/>
          </xdr:nvSpPr>
          <xdr:spPr>
            <a:xfrm>
              <a:off x="4658360" y="374967"/>
              <a:ext cx="15036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419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  <m:sub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s-419" sz="1100"/>
            </a:p>
          </xdr:txBody>
        </xdr:sp>
      </mc:Choice>
      <mc:Fallback xmlns="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12DE5926-C569-4933-9E0E-9A8F49638493}"/>
                </a:ext>
              </a:extLst>
            </xdr:cNvPr>
            <xdr:cNvSpPr txBox="1"/>
          </xdr:nvSpPr>
          <xdr:spPr>
            <a:xfrm>
              <a:off x="4658360" y="374967"/>
              <a:ext cx="15036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419" sz="1100" b="0" i="0">
                  <a:latin typeface="Cambria Math" panose="02040503050406030204" pitchFamily="18" charset="0"/>
                </a:rPr>
                <a:t>𝑌_1</a:t>
              </a:r>
              <a:endParaRPr lang="es-419" sz="1100"/>
            </a:p>
          </xdr:txBody>
        </xdr:sp>
      </mc:Fallback>
    </mc:AlternateContent>
    <xdr:clientData/>
  </xdr:oneCellAnchor>
  <xdr:oneCellAnchor>
    <xdr:from>
      <xdr:col>8</xdr:col>
      <xdr:colOff>337820</xdr:colOff>
      <xdr:row>4</xdr:row>
      <xdr:rowOff>9207</xdr:rowOff>
    </xdr:from>
    <xdr:ext cx="153632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207C038A-25A2-4BC1-806D-EEFFF5022F69}"/>
                </a:ext>
              </a:extLst>
            </xdr:cNvPr>
            <xdr:cNvSpPr txBox="1"/>
          </xdr:nvSpPr>
          <xdr:spPr>
            <a:xfrm>
              <a:off x="7035800" y="374967"/>
              <a:ext cx="15363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419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  <m:sub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s-419" sz="1100"/>
            </a:p>
          </xdr:txBody>
        </xdr:sp>
      </mc:Choice>
      <mc:Fallback xmlns="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207C038A-25A2-4BC1-806D-EEFFF5022F69}"/>
                </a:ext>
              </a:extLst>
            </xdr:cNvPr>
            <xdr:cNvSpPr txBox="1"/>
          </xdr:nvSpPr>
          <xdr:spPr>
            <a:xfrm>
              <a:off x="7035800" y="374967"/>
              <a:ext cx="15363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419" sz="1100" b="0" i="0">
                  <a:latin typeface="Cambria Math" panose="02040503050406030204" pitchFamily="18" charset="0"/>
                </a:rPr>
                <a:t>𝑌_2</a:t>
              </a:r>
              <a:endParaRPr lang="es-419" sz="1100"/>
            </a:p>
          </xdr:txBody>
        </xdr:sp>
      </mc:Fallback>
    </mc:AlternateContent>
    <xdr:clientData/>
  </xdr:oneCellAnchor>
  <xdr:oneCellAnchor>
    <xdr:from>
      <xdr:col>11</xdr:col>
      <xdr:colOff>337820</xdr:colOff>
      <xdr:row>4</xdr:row>
      <xdr:rowOff>9207</xdr:rowOff>
    </xdr:from>
    <xdr:ext cx="153632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40AD21F9-5EFD-453B-B615-5CD0ADF81A47}"/>
                </a:ext>
              </a:extLst>
            </xdr:cNvPr>
            <xdr:cNvSpPr txBox="1"/>
          </xdr:nvSpPr>
          <xdr:spPr>
            <a:xfrm>
              <a:off x="9413240" y="374967"/>
              <a:ext cx="15363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419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  <m:sub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</m:oMath>
                </m:oMathPara>
              </a14:m>
              <a:endParaRPr lang="es-419" sz="1100"/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40AD21F9-5EFD-453B-B615-5CD0ADF81A47}"/>
                </a:ext>
              </a:extLst>
            </xdr:cNvPr>
            <xdr:cNvSpPr txBox="1"/>
          </xdr:nvSpPr>
          <xdr:spPr>
            <a:xfrm>
              <a:off x="9413240" y="374967"/>
              <a:ext cx="15363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419" sz="1100" b="0" i="0">
                  <a:latin typeface="Cambria Math" panose="02040503050406030204" pitchFamily="18" charset="0"/>
                </a:rPr>
                <a:t>𝑌_3</a:t>
              </a:r>
              <a:endParaRPr lang="es-419" sz="1100"/>
            </a:p>
          </xdr:txBody>
        </xdr:sp>
      </mc:Fallback>
    </mc:AlternateContent>
    <xdr:clientData/>
  </xdr:oneCellAnchor>
  <xdr:oneCellAnchor>
    <xdr:from>
      <xdr:col>14</xdr:col>
      <xdr:colOff>337820</xdr:colOff>
      <xdr:row>4</xdr:row>
      <xdr:rowOff>9207</xdr:rowOff>
    </xdr:from>
    <xdr:ext cx="153632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52D722D5-F22C-4EE0-BBBB-DFEEC345CEC0}"/>
                </a:ext>
              </a:extLst>
            </xdr:cNvPr>
            <xdr:cNvSpPr txBox="1"/>
          </xdr:nvSpPr>
          <xdr:spPr>
            <a:xfrm>
              <a:off x="11790680" y="374967"/>
              <a:ext cx="15363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419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  <m:sub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</m:oMath>
                </m:oMathPara>
              </a14:m>
              <a:endParaRPr lang="es-419" sz="1100"/>
            </a:p>
          </xdr:txBody>
        </xdr:sp>
      </mc:Choice>
      <mc:Fallback xmlns="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52D722D5-F22C-4EE0-BBBB-DFEEC345CEC0}"/>
                </a:ext>
              </a:extLst>
            </xdr:cNvPr>
            <xdr:cNvSpPr txBox="1"/>
          </xdr:nvSpPr>
          <xdr:spPr>
            <a:xfrm>
              <a:off x="11790680" y="374967"/>
              <a:ext cx="15363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419" sz="1100" b="0" i="0">
                  <a:latin typeface="Cambria Math" panose="02040503050406030204" pitchFamily="18" charset="0"/>
                </a:rPr>
                <a:t>𝑌_4</a:t>
              </a:r>
              <a:endParaRPr lang="es-419" sz="1100"/>
            </a:p>
          </xdr:txBody>
        </xdr:sp>
      </mc:Fallback>
    </mc:AlternateContent>
    <xdr:clientData/>
  </xdr:oneCellAnchor>
  <xdr:oneCellAnchor>
    <xdr:from>
      <xdr:col>8</xdr:col>
      <xdr:colOff>337820</xdr:colOff>
      <xdr:row>4</xdr:row>
      <xdr:rowOff>9207</xdr:rowOff>
    </xdr:from>
    <xdr:ext cx="150361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32D12D61-4736-4581-9EA6-EAD1C8E871DE}"/>
                </a:ext>
              </a:extLst>
            </xdr:cNvPr>
            <xdr:cNvSpPr txBox="1"/>
          </xdr:nvSpPr>
          <xdr:spPr>
            <a:xfrm>
              <a:off x="6494780" y="740727"/>
              <a:ext cx="15036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419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  <m:sub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s-419" sz="1100"/>
            </a:p>
          </xdr:txBody>
        </xdr:sp>
      </mc:Choice>
      <mc:Fallback xmlns="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32D12D61-4736-4581-9EA6-EAD1C8E871DE}"/>
                </a:ext>
              </a:extLst>
            </xdr:cNvPr>
            <xdr:cNvSpPr txBox="1"/>
          </xdr:nvSpPr>
          <xdr:spPr>
            <a:xfrm>
              <a:off x="6494780" y="740727"/>
              <a:ext cx="15036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419" sz="1100" b="0" i="0">
                  <a:latin typeface="Cambria Math" panose="02040503050406030204" pitchFamily="18" charset="0"/>
                </a:rPr>
                <a:t>𝑌_1</a:t>
              </a:r>
              <a:endParaRPr lang="es-419" sz="1100"/>
            </a:p>
          </xdr:txBody>
        </xdr:sp>
      </mc:Fallback>
    </mc:AlternateContent>
    <xdr:clientData/>
  </xdr:oneCellAnchor>
  <xdr:oneCellAnchor>
    <xdr:from>
      <xdr:col>11</xdr:col>
      <xdr:colOff>337820</xdr:colOff>
      <xdr:row>4</xdr:row>
      <xdr:rowOff>9207</xdr:rowOff>
    </xdr:from>
    <xdr:ext cx="150361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82B48D6C-8913-45F2-81F9-699CCC435A09}"/>
                </a:ext>
              </a:extLst>
            </xdr:cNvPr>
            <xdr:cNvSpPr txBox="1"/>
          </xdr:nvSpPr>
          <xdr:spPr>
            <a:xfrm>
              <a:off x="4658360" y="1472247"/>
              <a:ext cx="15036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419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  <m:sub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s-419" sz="1100"/>
            </a:p>
          </xdr:txBody>
        </xdr:sp>
      </mc:Choice>
      <mc:Fallback xmlns="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82B48D6C-8913-45F2-81F9-699CCC435A09}"/>
                </a:ext>
              </a:extLst>
            </xdr:cNvPr>
            <xdr:cNvSpPr txBox="1"/>
          </xdr:nvSpPr>
          <xdr:spPr>
            <a:xfrm>
              <a:off x="4658360" y="1472247"/>
              <a:ext cx="15036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419" sz="1100" b="0" i="0">
                  <a:latin typeface="Cambria Math" panose="02040503050406030204" pitchFamily="18" charset="0"/>
                </a:rPr>
                <a:t>𝑌_1</a:t>
              </a:r>
              <a:endParaRPr lang="es-419" sz="1100"/>
            </a:p>
          </xdr:txBody>
        </xdr:sp>
      </mc:Fallback>
    </mc:AlternateContent>
    <xdr:clientData/>
  </xdr:oneCellAnchor>
  <xdr:oneCellAnchor>
    <xdr:from>
      <xdr:col>14</xdr:col>
      <xdr:colOff>337820</xdr:colOff>
      <xdr:row>4</xdr:row>
      <xdr:rowOff>9207</xdr:rowOff>
    </xdr:from>
    <xdr:ext cx="150361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DACAEADD-DF88-463D-BD8F-55B2A8247D38}"/>
                </a:ext>
              </a:extLst>
            </xdr:cNvPr>
            <xdr:cNvSpPr txBox="1"/>
          </xdr:nvSpPr>
          <xdr:spPr>
            <a:xfrm>
              <a:off x="4658360" y="1472247"/>
              <a:ext cx="15036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419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  <m:sub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s-419" sz="1100"/>
            </a:p>
          </xdr:txBody>
        </xdr:sp>
      </mc:Choice>
      <mc:Fallback xmlns="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DACAEADD-DF88-463D-BD8F-55B2A8247D38}"/>
                </a:ext>
              </a:extLst>
            </xdr:cNvPr>
            <xdr:cNvSpPr txBox="1"/>
          </xdr:nvSpPr>
          <xdr:spPr>
            <a:xfrm>
              <a:off x="4658360" y="1472247"/>
              <a:ext cx="15036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419" sz="1100" b="0" i="0">
                  <a:latin typeface="Cambria Math" panose="02040503050406030204" pitchFamily="18" charset="0"/>
                </a:rPr>
                <a:t>𝑌_1</a:t>
              </a:r>
              <a:endParaRPr lang="es-419" sz="1100"/>
            </a:p>
          </xdr:txBody>
        </xdr:sp>
      </mc:Fallback>
    </mc:AlternateContent>
    <xdr:clientData/>
  </xdr:oneCellAnchor>
  <xdr:oneCellAnchor>
    <xdr:from>
      <xdr:col>5</xdr:col>
      <xdr:colOff>337820</xdr:colOff>
      <xdr:row>19</xdr:row>
      <xdr:rowOff>9207</xdr:rowOff>
    </xdr:from>
    <xdr:ext cx="150361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68A8A0EC-1784-4150-8AA7-B48735141115}"/>
                </a:ext>
              </a:extLst>
            </xdr:cNvPr>
            <xdr:cNvSpPr txBox="1"/>
          </xdr:nvSpPr>
          <xdr:spPr>
            <a:xfrm>
              <a:off x="4658360" y="557847"/>
              <a:ext cx="15036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419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  <m:sub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s-419" sz="1100"/>
            </a:p>
          </xdr:txBody>
        </xdr:sp>
      </mc:Choice>
      <mc:Fallback xmlns=""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68A8A0EC-1784-4150-8AA7-B48735141115}"/>
                </a:ext>
              </a:extLst>
            </xdr:cNvPr>
            <xdr:cNvSpPr txBox="1"/>
          </xdr:nvSpPr>
          <xdr:spPr>
            <a:xfrm>
              <a:off x="4658360" y="557847"/>
              <a:ext cx="15036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419" sz="1100" b="0" i="0">
                  <a:latin typeface="Cambria Math" panose="02040503050406030204" pitchFamily="18" charset="0"/>
                </a:rPr>
                <a:t>𝑌_1</a:t>
              </a:r>
              <a:endParaRPr lang="es-419" sz="1100"/>
            </a:p>
          </xdr:txBody>
        </xdr:sp>
      </mc:Fallback>
    </mc:AlternateContent>
    <xdr:clientData/>
  </xdr:oneCellAnchor>
  <xdr:oneCellAnchor>
    <xdr:from>
      <xdr:col>8</xdr:col>
      <xdr:colOff>337820</xdr:colOff>
      <xdr:row>19</xdr:row>
      <xdr:rowOff>9207</xdr:rowOff>
    </xdr:from>
    <xdr:ext cx="153632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17">
              <a:extLst>
                <a:ext uri="{FF2B5EF4-FFF2-40B4-BE49-F238E27FC236}">
                  <a16:creationId xmlns:a16="http://schemas.microsoft.com/office/drawing/2014/main" id="{17421A26-2694-43EE-A489-57628D503E01}"/>
                </a:ext>
              </a:extLst>
            </xdr:cNvPr>
            <xdr:cNvSpPr txBox="1"/>
          </xdr:nvSpPr>
          <xdr:spPr>
            <a:xfrm>
              <a:off x="7035800" y="557847"/>
              <a:ext cx="15363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419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  <m:sub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s-419" sz="1100"/>
            </a:p>
          </xdr:txBody>
        </xdr:sp>
      </mc:Choice>
      <mc:Fallback xmlns="">
        <xdr:sp macro="" textlink="">
          <xdr:nvSpPr>
            <xdr:cNvPr id="18" name="CuadroTexto 17">
              <a:extLst>
                <a:ext uri="{FF2B5EF4-FFF2-40B4-BE49-F238E27FC236}">
                  <a16:creationId xmlns:a16="http://schemas.microsoft.com/office/drawing/2014/main" id="{17421A26-2694-43EE-A489-57628D503E01}"/>
                </a:ext>
              </a:extLst>
            </xdr:cNvPr>
            <xdr:cNvSpPr txBox="1"/>
          </xdr:nvSpPr>
          <xdr:spPr>
            <a:xfrm>
              <a:off x="7035800" y="557847"/>
              <a:ext cx="15363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419" sz="1100" b="0" i="0">
                  <a:latin typeface="Cambria Math" panose="02040503050406030204" pitchFamily="18" charset="0"/>
                </a:rPr>
                <a:t>𝑌_2</a:t>
              </a:r>
              <a:endParaRPr lang="es-419" sz="1100"/>
            </a:p>
          </xdr:txBody>
        </xdr:sp>
      </mc:Fallback>
    </mc:AlternateContent>
    <xdr:clientData/>
  </xdr:oneCellAnchor>
  <xdr:oneCellAnchor>
    <xdr:from>
      <xdr:col>11</xdr:col>
      <xdr:colOff>337820</xdr:colOff>
      <xdr:row>19</xdr:row>
      <xdr:rowOff>9207</xdr:rowOff>
    </xdr:from>
    <xdr:ext cx="153632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CuadroTexto 18">
              <a:extLst>
                <a:ext uri="{FF2B5EF4-FFF2-40B4-BE49-F238E27FC236}">
                  <a16:creationId xmlns:a16="http://schemas.microsoft.com/office/drawing/2014/main" id="{0D70EAE3-FE88-4CE8-8B51-D4EBECD41ACA}"/>
                </a:ext>
              </a:extLst>
            </xdr:cNvPr>
            <xdr:cNvSpPr txBox="1"/>
          </xdr:nvSpPr>
          <xdr:spPr>
            <a:xfrm>
              <a:off x="9413240" y="557847"/>
              <a:ext cx="15363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419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  <m:sub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</m:oMath>
                </m:oMathPara>
              </a14:m>
              <a:endParaRPr lang="es-419" sz="1100"/>
            </a:p>
          </xdr:txBody>
        </xdr:sp>
      </mc:Choice>
      <mc:Fallback xmlns="">
        <xdr:sp macro="" textlink="">
          <xdr:nvSpPr>
            <xdr:cNvPr id="19" name="CuadroTexto 18">
              <a:extLst>
                <a:ext uri="{FF2B5EF4-FFF2-40B4-BE49-F238E27FC236}">
                  <a16:creationId xmlns:a16="http://schemas.microsoft.com/office/drawing/2014/main" id="{0D70EAE3-FE88-4CE8-8B51-D4EBECD41ACA}"/>
                </a:ext>
              </a:extLst>
            </xdr:cNvPr>
            <xdr:cNvSpPr txBox="1"/>
          </xdr:nvSpPr>
          <xdr:spPr>
            <a:xfrm>
              <a:off x="9413240" y="557847"/>
              <a:ext cx="15363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419" sz="1100" b="0" i="0">
                  <a:latin typeface="Cambria Math" panose="02040503050406030204" pitchFamily="18" charset="0"/>
                </a:rPr>
                <a:t>𝑌_3</a:t>
              </a:r>
              <a:endParaRPr lang="es-419" sz="1100"/>
            </a:p>
          </xdr:txBody>
        </xdr:sp>
      </mc:Fallback>
    </mc:AlternateContent>
    <xdr:clientData/>
  </xdr:oneCellAnchor>
  <xdr:oneCellAnchor>
    <xdr:from>
      <xdr:col>14</xdr:col>
      <xdr:colOff>337820</xdr:colOff>
      <xdr:row>19</xdr:row>
      <xdr:rowOff>9207</xdr:rowOff>
    </xdr:from>
    <xdr:ext cx="153632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CuadroTexto 19">
              <a:extLst>
                <a:ext uri="{FF2B5EF4-FFF2-40B4-BE49-F238E27FC236}">
                  <a16:creationId xmlns:a16="http://schemas.microsoft.com/office/drawing/2014/main" id="{F8FA4D26-9863-4A45-AF13-39184F4BB3A4}"/>
                </a:ext>
              </a:extLst>
            </xdr:cNvPr>
            <xdr:cNvSpPr txBox="1"/>
          </xdr:nvSpPr>
          <xdr:spPr>
            <a:xfrm>
              <a:off x="11790680" y="557847"/>
              <a:ext cx="15363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419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  <m:sub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</m:oMath>
                </m:oMathPara>
              </a14:m>
              <a:endParaRPr lang="es-419" sz="1100"/>
            </a:p>
          </xdr:txBody>
        </xdr:sp>
      </mc:Choice>
      <mc:Fallback xmlns="">
        <xdr:sp macro="" textlink="">
          <xdr:nvSpPr>
            <xdr:cNvPr id="20" name="CuadroTexto 19">
              <a:extLst>
                <a:ext uri="{FF2B5EF4-FFF2-40B4-BE49-F238E27FC236}">
                  <a16:creationId xmlns:a16="http://schemas.microsoft.com/office/drawing/2014/main" id="{F8FA4D26-9863-4A45-AF13-39184F4BB3A4}"/>
                </a:ext>
              </a:extLst>
            </xdr:cNvPr>
            <xdr:cNvSpPr txBox="1"/>
          </xdr:nvSpPr>
          <xdr:spPr>
            <a:xfrm>
              <a:off x="11790680" y="557847"/>
              <a:ext cx="15363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419" sz="1100" b="0" i="0">
                  <a:latin typeface="Cambria Math" panose="02040503050406030204" pitchFamily="18" charset="0"/>
                </a:rPr>
                <a:t>𝑌_4</a:t>
              </a:r>
              <a:endParaRPr lang="es-419" sz="1100"/>
            </a:p>
          </xdr:txBody>
        </xdr:sp>
      </mc:Fallback>
    </mc:AlternateContent>
    <xdr:clientData/>
  </xdr:oneCellAnchor>
  <xdr:oneCellAnchor>
    <xdr:from>
      <xdr:col>8</xdr:col>
      <xdr:colOff>337820</xdr:colOff>
      <xdr:row>19</xdr:row>
      <xdr:rowOff>9207</xdr:rowOff>
    </xdr:from>
    <xdr:ext cx="150361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5C599B87-F3B5-4E87-9918-CA099932585E}"/>
                </a:ext>
              </a:extLst>
            </xdr:cNvPr>
            <xdr:cNvSpPr txBox="1"/>
          </xdr:nvSpPr>
          <xdr:spPr>
            <a:xfrm>
              <a:off x="7035800" y="557847"/>
              <a:ext cx="15036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419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  <m:sub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s-419" sz="1100"/>
            </a:p>
          </xdr:txBody>
        </xdr:sp>
      </mc:Choice>
      <mc:Fallback xmlns=""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5C599B87-F3B5-4E87-9918-CA099932585E}"/>
                </a:ext>
              </a:extLst>
            </xdr:cNvPr>
            <xdr:cNvSpPr txBox="1"/>
          </xdr:nvSpPr>
          <xdr:spPr>
            <a:xfrm>
              <a:off x="7035800" y="557847"/>
              <a:ext cx="15036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419" sz="1100" b="0" i="0">
                  <a:latin typeface="Cambria Math" panose="02040503050406030204" pitchFamily="18" charset="0"/>
                </a:rPr>
                <a:t>𝑌_1</a:t>
              </a:r>
              <a:endParaRPr lang="es-419" sz="1100"/>
            </a:p>
          </xdr:txBody>
        </xdr:sp>
      </mc:Fallback>
    </mc:AlternateContent>
    <xdr:clientData/>
  </xdr:oneCellAnchor>
  <xdr:oneCellAnchor>
    <xdr:from>
      <xdr:col>11</xdr:col>
      <xdr:colOff>337820</xdr:colOff>
      <xdr:row>19</xdr:row>
      <xdr:rowOff>9207</xdr:rowOff>
    </xdr:from>
    <xdr:ext cx="150361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CuadroTexto 21">
              <a:extLst>
                <a:ext uri="{FF2B5EF4-FFF2-40B4-BE49-F238E27FC236}">
                  <a16:creationId xmlns:a16="http://schemas.microsoft.com/office/drawing/2014/main" id="{21930933-9F5A-4489-9AD3-4851B746F3AF}"/>
                </a:ext>
              </a:extLst>
            </xdr:cNvPr>
            <xdr:cNvSpPr txBox="1"/>
          </xdr:nvSpPr>
          <xdr:spPr>
            <a:xfrm>
              <a:off x="9413240" y="557847"/>
              <a:ext cx="15036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419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  <m:sub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s-419" sz="1100"/>
            </a:p>
          </xdr:txBody>
        </xdr:sp>
      </mc:Choice>
      <mc:Fallback xmlns="">
        <xdr:sp macro="" textlink="">
          <xdr:nvSpPr>
            <xdr:cNvPr id="22" name="CuadroTexto 21">
              <a:extLst>
                <a:ext uri="{FF2B5EF4-FFF2-40B4-BE49-F238E27FC236}">
                  <a16:creationId xmlns:a16="http://schemas.microsoft.com/office/drawing/2014/main" id="{21930933-9F5A-4489-9AD3-4851B746F3AF}"/>
                </a:ext>
              </a:extLst>
            </xdr:cNvPr>
            <xdr:cNvSpPr txBox="1"/>
          </xdr:nvSpPr>
          <xdr:spPr>
            <a:xfrm>
              <a:off x="9413240" y="557847"/>
              <a:ext cx="15036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419" sz="1100" b="0" i="0">
                  <a:latin typeface="Cambria Math" panose="02040503050406030204" pitchFamily="18" charset="0"/>
                </a:rPr>
                <a:t>𝑌_1</a:t>
              </a:r>
              <a:endParaRPr lang="es-419" sz="1100"/>
            </a:p>
          </xdr:txBody>
        </xdr:sp>
      </mc:Fallback>
    </mc:AlternateContent>
    <xdr:clientData/>
  </xdr:oneCellAnchor>
  <xdr:oneCellAnchor>
    <xdr:from>
      <xdr:col>14</xdr:col>
      <xdr:colOff>337820</xdr:colOff>
      <xdr:row>19</xdr:row>
      <xdr:rowOff>9207</xdr:rowOff>
    </xdr:from>
    <xdr:ext cx="150361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CuadroTexto 22">
              <a:extLst>
                <a:ext uri="{FF2B5EF4-FFF2-40B4-BE49-F238E27FC236}">
                  <a16:creationId xmlns:a16="http://schemas.microsoft.com/office/drawing/2014/main" id="{5F0087F2-ED74-4CE9-84FF-B64E0B852F1A}"/>
                </a:ext>
              </a:extLst>
            </xdr:cNvPr>
            <xdr:cNvSpPr txBox="1"/>
          </xdr:nvSpPr>
          <xdr:spPr>
            <a:xfrm>
              <a:off x="11752580" y="1838007"/>
              <a:ext cx="15036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419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  <m:sub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s-419" sz="1100"/>
            </a:p>
          </xdr:txBody>
        </xdr:sp>
      </mc:Choice>
      <mc:Fallback xmlns="">
        <xdr:sp macro="" textlink="">
          <xdr:nvSpPr>
            <xdr:cNvPr id="23" name="CuadroTexto 22">
              <a:extLst>
                <a:ext uri="{FF2B5EF4-FFF2-40B4-BE49-F238E27FC236}">
                  <a16:creationId xmlns:a16="http://schemas.microsoft.com/office/drawing/2014/main" id="{5F0087F2-ED74-4CE9-84FF-B64E0B852F1A}"/>
                </a:ext>
              </a:extLst>
            </xdr:cNvPr>
            <xdr:cNvSpPr txBox="1"/>
          </xdr:nvSpPr>
          <xdr:spPr>
            <a:xfrm>
              <a:off x="11752580" y="1838007"/>
              <a:ext cx="15036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419" sz="1100" b="0" i="0">
                  <a:latin typeface="Cambria Math" panose="02040503050406030204" pitchFamily="18" charset="0"/>
                </a:rPr>
                <a:t>𝑌_1</a:t>
              </a:r>
              <a:endParaRPr lang="es-419" sz="1100"/>
            </a:p>
          </xdr:txBody>
        </xdr:sp>
      </mc:Fallback>
    </mc:AlternateContent>
    <xdr:clientData/>
  </xdr:oneCellAnchor>
  <xdr:oneCellAnchor>
    <xdr:from>
      <xdr:col>8</xdr:col>
      <xdr:colOff>337820</xdr:colOff>
      <xdr:row>19</xdr:row>
      <xdr:rowOff>9207</xdr:rowOff>
    </xdr:from>
    <xdr:ext cx="150361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8ACB2A58-0C1A-4CA8-A384-6743C09C8D90}"/>
                </a:ext>
              </a:extLst>
            </xdr:cNvPr>
            <xdr:cNvSpPr txBox="1"/>
          </xdr:nvSpPr>
          <xdr:spPr>
            <a:xfrm>
              <a:off x="4620260" y="1838007"/>
              <a:ext cx="15036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419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  <m:sub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s-419" sz="11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8ACB2A58-0C1A-4CA8-A384-6743C09C8D90}"/>
                </a:ext>
              </a:extLst>
            </xdr:cNvPr>
            <xdr:cNvSpPr txBox="1"/>
          </xdr:nvSpPr>
          <xdr:spPr>
            <a:xfrm>
              <a:off x="4620260" y="1838007"/>
              <a:ext cx="15036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419" sz="1100" b="0" i="0">
                  <a:latin typeface="Cambria Math" panose="02040503050406030204" pitchFamily="18" charset="0"/>
                </a:rPr>
                <a:t>𝑌_1</a:t>
              </a:r>
              <a:endParaRPr lang="es-419" sz="1100"/>
            </a:p>
          </xdr:txBody>
        </xdr:sp>
      </mc:Fallback>
    </mc:AlternateContent>
    <xdr:clientData/>
  </xdr:oneCellAnchor>
  <xdr:oneCellAnchor>
    <xdr:from>
      <xdr:col>11</xdr:col>
      <xdr:colOff>337820</xdr:colOff>
      <xdr:row>19</xdr:row>
      <xdr:rowOff>9207</xdr:rowOff>
    </xdr:from>
    <xdr:ext cx="150361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3C699698-7DC3-4703-81A6-38AE251582A1}"/>
                </a:ext>
              </a:extLst>
            </xdr:cNvPr>
            <xdr:cNvSpPr txBox="1"/>
          </xdr:nvSpPr>
          <xdr:spPr>
            <a:xfrm>
              <a:off x="4620260" y="1838007"/>
              <a:ext cx="15036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419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  <m:sub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s-419" sz="11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3C699698-7DC3-4703-81A6-38AE251582A1}"/>
                </a:ext>
              </a:extLst>
            </xdr:cNvPr>
            <xdr:cNvSpPr txBox="1"/>
          </xdr:nvSpPr>
          <xdr:spPr>
            <a:xfrm>
              <a:off x="4620260" y="1838007"/>
              <a:ext cx="15036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419" sz="1100" b="0" i="0">
                  <a:latin typeface="Cambria Math" panose="02040503050406030204" pitchFamily="18" charset="0"/>
                </a:rPr>
                <a:t>𝑌_1</a:t>
              </a:r>
              <a:endParaRPr lang="es-419" sz="1100"/>
            </a:p>
          </xdr:txBody>
        </xdr:sp>
      </mc:Fallback>
    </mc:AlternateContent>
    <xdr:clientData/>
  </xdr:oneCellAnchor>
  <xdr:oneCellAnchor>
    <xdr:from>
      <xdr:col>14</xdr:col>
      <xdr:colOff>337820</xdr:colOff>
      <xdr:row>19</xdr:row>
      <xdr:rowOff>9207</xdr:rowOff>
    </xdr:from>
    <xdr:ext cx="150361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E866F4BC-855C-4D2F-A615-1B66A0CDAFBB}"/>
                </a:ext>
              </a:extLst>
            </xdr:cNvPr>
            <xdr:cNvSpPr txBox="1"/>
          </xdr:nvSpPr>
          <xdr:spPr>
            <a:xfrm>
              <a:off x="4620260" y="1838007"/>
              <a:ext cx="15036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419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  <m:sub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s-419" sz="1100"/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E866F4BC-855C-4D2F-A615-1B66A0CDAFBB}"/>
                </a:ext>
              </a:extLst>
            </xdr:cNvPr>
            <xdr:cNvSpPr txBox="1"/>
          </xdr:nvSpPr>
          <xdr:spPr>
            <a:xfrm>
              <a:off x="4620260" y="1838007"/>
              <a:ext cx="15036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419" sz="1100" b="0" i="0">
                  <a:latin typeface="Cambria Math" panose="02040503050406030204" pitchFamily="18" charset="0"/>
                </a:rPr>
                <a:t>𝑌_1</a:t>
              </a:r>
              <a:endParaRPr lang="es-419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434340</xdr:colOff>
      <xdr:row>52</xdr:row>
      <xdr:rowOff>144780</xdr:rowOff>
    </xdr:from>
    <xdr:to>
      <xdr:col>2</xdr:col>
      <xdr:colOff>1150620</xdr:colOff>
      <xdr:row>53</xdr:row>
      <xdr:rowOff>0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8CF8AEEC-55AF-5AFE-DE2F-C76D6385A477}"/>
            </a:ext>
          </a:extLst>
        </xdr:cNvPr>
        <xdr:cNvCxnSpPr/>
      </xdr:nvCxnSpPr>
      <xdr:spPr>
        <a:xfrm flipV="1">
          <a:off x="1226820" y="9654540"/>
          <a:ext cx="2438400" cy="3810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426720</xdr:colOff>
      <xdr:row>41</xdr:row>
      <xdr:rowOff>99060</xdr:rowOff>
    </xdr:from>
    <xdr:to>
      <xdr:col>1</xdr:col>
      <xdr:colOff>441960</xdr:colOff>
      <xdr:row>52</xdr:row>
      <xdr:rowOff>167640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24C8AEA9-F3FE-401F-83CC-F73F93532F96}"/>
            </a:ext>
          </a:extLst>
        </xdr:cNvPr>
        <xdr:cNvCxnSpPr/>
      </xdr:nvCxnSpPr>
      <xdr:spPr>
        <a:xfrm flipH="1" flipV="1">
          <a:off x="1219200" y="7597140"/>
          <a:ext cx="15240" cy="208026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457200</xdr:colOff>
      <xdr:row>50</xdr:row>
      <xdr:rowOff>144780</xdr:rowOff>
    </xdr:from>
    <xdr:to>
      <xdr:col>2</xdr:col>
      <xdr:colOff>1089660</xdr:colOff>
      <xdr:row>50</xdr:row>
      <xdr:rowOff>175260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E7025997-446D-FDE3-4972-CB46AAC40126}"/>
            </a:ext>
          </a:extLst>
        </xdr:cNvPr>
        <xdr:cNvCxnSpPr/>
      </xdr:nvCxnSpPr>
      <xdr:spPr>
        <a:xfrm flipV="1">
          <a:off x="1249680" y="9288780"/>
          <a:ext cx="2354580" cy="3048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1470660</xdr:colOff>
      <xdr:row>49</xdr:row>
      <xdr:rowOff>22860</xdr:rowOff>
    </xdr:from>
    <xdr:to>
      <xdr:col>1</xdr:col>
      <xdr:colOff>1470660</xdr:colOff>
      <xdr:row>53</xdr:row>
      <xdr:rowOff>7620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id="{BCABDC2C-122E-6684-0A43-0E5A9189550C}"/>
            </a:ext>
          </a:extLst>
        </xdr:cNvPr>
        <xdr:cNvCxnSpPr/>
      </xdr:nvCxnSpPr>
      <xdr:spPr>
        <a:xfrm>
          <a:off x="2263140" y="8983980"/>
          <a:ext cx="0" cy="71628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853440</xdr:colOff>
      <xdr:row>45</xdr:row>
      <xdr:rowOff>22860</xdr:rowOff>
    </xdr:from>
    <xdr:to>
      <xdr:col>2</xdr:col>
      <xdr:colOff>868680</xdr:colOff>
      <xdr:row>52</xdr:row>
      <xdr:rowOff>160020</xdr:rowOff>
    </xdr:to>
    <xdr:cxnSp macro="">
      <xdr:nvCxnSpPr>
        <xdr:cNvPr id="22" name="Conector recto 21">
          <a:extLst>
            <a:ext uri="{FF2B5EF4-FFF2-40B4-BE49-F238E27FC236}">
              <a16:creationId xmlns:a16="http://schemas.microsoft.com/office/drawing/2014/main" id="{6CD3E1C3-C005-437A-974E-DA4BA0C4AEF0}"/>
            </a:ext>
          </a:extLst>
        </xdr:cNvPr>
        <xdr:cNvCxnSpPr/>
      </xdr:nvCxnSpPr>
      <xdr:spPr>
        <a:xfrm>
          <a:off x="3368040" y="8252460"/>
          <a:ext cx="15240" cy="141732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434340</xdr:colOff>
      <xdr:row>45</xdr:row>
      <xdr:rowOff>45720</xdr:rowOff>
    </xdr:from>
    <xdr:to>
      <xdr:col>2</xdr:col>
      <xdr:colOff>853440</xdr:colOff>
      <xdr:row>45</xdr:row>
      <xdr:rowOff>60960</xdr:rowOff>
    </xdr:to>
    <xdr:cxnSp macro="">
      <xdr:nvCxnSpPr>
        <xdr:cNvPr id="26" name="Conector recto 25">
          <a:extLst>
            <a:ext uri="{FF2B5EF4-FFF2-40B4-BE49-F238E27FC236}">
              <a16:creationId xmlns:a16="http://schemas.microsoft.com/office/drawing/2014/main" id="{B954DD67-94B9-4FF0-A495-4EA27E534FD8}"/>
            </a:ext>
          </a:extLst>
        </xdr:cNvPr>
        <xdr:cNvCxnSpPr/>
      </xdr:nvCxnSpPr>
      <xdr:spPr>
        <a:xfrm flipH="1">
          <a:off x="1226820" y="8275320"/>
          <a:ext cx="2141220" cy="1524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441960</xdr:colOff>
      <xdr:row>49</xdr:row>
      <xdr:rowOff>30480</xdr:rowOff>
    </xdr:from>
    <xdr:to>
      <xdr:col>1</xdr:col>
      <xdr:colOff>1501140</xdr:colOff>
      <xdr:row>49</xdr:row>
      <xdr:rowOff>53340</xdr:rowOff>
    </xdr:to>
    <xdr:cxnSp macro="">
      <xdr:nvCxnSpPr>
        <xdr:cNvPr id="29" name="Conector recto 28">
          <a:extLst>
            <a:ext uri="{FF2B5EF4-FFF2-40B4-BE49-F238E27FC236}">
              <a16:creationId xmlns:a16="http://schemas.microsoft.com/office/drawing/2014/main" id="{B4B3BCBE-C735-42E6-8C3A-7F8FBC38A617}"/>
            </a:ext>
          </a:extLst>
        </xdr:cNvPr>
        <xdr:cNvCxnSpPr/>
      </xdr:nvCxnSpPr>
      <xdr:spPr>
        <a:xfrm flipH="1">
          <a:off x="1234440" y="8991600"/>
          <a:ext cx="1059180" cy="2286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449580</xdr:colOff>
      <xdr:row>47</xdr:row>
      <xdr:rowOff>114300</xdr:rowOff>
    </xdr:from>
    <xdr:to>
      <xdr:col>2</xdr:col>
      <xdr:colOff>1097280</xdr:colOff>
      <xdr:row>50</xdr:row>
      <xdr:rowOff>83820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CD952984-2482-4089-93F3-63A502C3C0C1}"/>
            </a:ext>
          </a:extLst>
        </xdr:cNvPr>
        <xdr:cNvCxnSpPr/>
      </xdr:nvCxnSpPr>
      <xdr:spPr>
        <a:xfrm flipV="1">
          <a:off x="1242060" y="8709660"/>
          <a:ext cx="2369820" cy="518160"/>
        </a:xfrm>
        <a:prstGeom prst="straightConnector1">
          <a:avLst/>
        </a:prstGeom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449580</xdr:colOff>
      <xdr:row>44</xdr:row>
      <xdr:rowOff>91440</xdr:rowOff>
    </xdr:from>
    <xdr:to>
      <xdr:col>2</xdr:col>
      <xdr:colOff>1043940</xdr:colOff>
      <xdr:row>52</xdr:row>
      <xdr:rowOff>175260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90EE1BC3-57F3-40EB-91A0-03A24B8977C2}"/>
            </a:ext>
          </a:extLst>
        </xdr:cNvPr>
        <xdr:cNvCxnSpPr/>
      </xdr:nvCxnSpPr>
      <xdr:spPr>
        <a:xfrm flipV="1">
          <a:off x="1242060" y="8138160"/>
          <a:ext cx="2316480" cy="1546860"/>
        </a:xfrm>
        <a:prstGeom prst="straightConnector1">
          <a:avLst/>
        </a:prstGeom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1</xdr:col>
      <xdr:colOff>1188720</xdr:colOff>
      <xdr:row>54</xdr:row>
      <xdr:rowOff>76200</xdr:rowOff>
    </xdr:from>
    <xdr:ext cx="184731" cy="436786"/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DA428732-909B-1E97-8B51-84D2501CE583}"/>
            </a:ext>
          </a:extLst>
        </xdr:cNvPr>
        <xdr:cNvSpPr txBox="1"/>
      </xdr:nvSpPr>
      <xdr:spPr>
        <a:xfrm>
          <a:off x="1981200" y="9951720"/>
          <a:ext cx="184731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419" sz="1100"/>
        </a:p>
        <a:p>
          <a:endParaRPr lang="es-419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1B56C-9F5A-4D8F-B78A-F26BEAF698B5}">
  <dimension ref="A1:N42"/>
  <sheetViews>
    <sheetView zoomScale="85" zoomScaleNormal="85" workbookViewId="0">
      <selection activeCell="B17" sqref="B17"/>
    </sheetView>
  </sheetViews>
  <sheetFormatPr baseColWidth="10" defaultRowHeight="14.4" x14ac:dyDescent="0.3"/>
  <cols>
    <col min="1" max="1" width="47.109375" customWidth="1"/>
    <col min="2" max="2" width="13.6640625" bestFit="1" customWidth="1"/>
    <col min="3" max="3" width="13" bestFit="1" customWidth="1"/>
    <col min="4" max="6" width="13.109375" bestFit="1" customWidth="1"/>
    <col min="7" max="9" width="13" bestFit="1" customWidth="1"/>
    <col min="10" max="10" width="13.109375" bestFit="1" customWidth="1"/>
    <col min="11" max="11" width="14.33203125" bestFit="1" customWidth="1"/>
    <col min="12" max="12" width="14.44140625" bestFit="1" customWidth="1"/>
    <col min="13" max="13" width="14.33203125" bestFit="1" customWidth="1"/>
    <col min="14" max="14" width="15.6640625" customWidth="1"/>
  </cols>
  <sheetData>
    <row r="1" spans="1:14" ht="15.6" x14ac:dyDescent="0.3">
      <c r="A1" s="1" t="s">
        <v>0</v>
      </c>
      <c r="B1" s="5">
        <v>2012</v>
      </c>
      <c r="C1" s="5">
        <v>2013</v>
      </c>
      <c r="D1" s="5">
        <v>2014</v>
      </c>
      <c r="E1" s="5">
        <v>2015</v>
      </c>
      <c r="F1" s="5">
        <v>2016</v>
      </c>
      <c r="G1" s="5">
        <v>2017</v>
      </c>
      <c r="H1" s="5">
        <v>2018</v>
      </c>
      <c r="I1" s="5">
        <v>2019</v>
      </c>
      <c r="J1" s="5">
        <v>2020</v>
      </c>
      <c r="K1" s="5">
        <v>2021</v>
      </c>
      <c r="L1" s="5">
        <v>2022</v>
      </c>
      <c r="M1" s="5">
        <v>2023</v>
      </c>
      <c r="N1" s="54" t="s">
        <v>1</v>
      </c>
    </row>
    <row r="2" spans="1:14" x14ac:dyDescent="0.3">
      <c r="A2" s="2" t="s">
        <v>2</v>
      </c>
      <c r="B2" s="6">
        <v>24270</v>
      </c>
      <c r="C2" s="6">
        <v>72220</v>
      </c>
      <c r="D2" s="6">
        <v>147763</v>
      </c>
      <c r="E2" s="6">
        <v>117685</v>
      </c>
      <c r="F2" s="6">
        <v>54338</v>
      </c>
      <c r="G2" s="6">
        <v>227520</v>
      </c>
      <c r="H2" s="6">
        <v>560344</v>
      </c>
      <c r="I2" s="6">
        <v>579929</v>
      </c>
      <c r="J2" s="6">
        <v>477083</v>
      </c>
      <c r="K2" s="6">
        <v>234978</v>
      </c>
      <c r="L2" s="6">
        <v>57583</v>
      </c>
      <c r="M2" s="6">
        <v>69594</v>
      </c>
      <c r="N2" s="52">
        <v>218608.91666666666</v>
      </c>
    </row>
    <row r="3" spans="1:14" x14ac:dyDescent="0.3">
      <c r="A3" s="2" t="s">
        <v>3</v>
      </c>
      <c r="B3" s="6">
        <v>361711</v>
      </c>
      <c r="C3" s="6">
        <v>384189</v>
      </c>
      <c r="D3" s="6">
        <v>300716</v>
      </c>
      <c r="E3" s="6">
        <v>305848</v>
      </c>
      <c r="F3" s="6">
        <v>251372</v>
      </c>
      <c r="G3" s="6">
        <v>371175</v>
      </c>
      <c r="H3" s="6">
        <v>332529</v>
      </c>
      <c r="I3" s="6">
        <v>334511</v>
      </c>
      <c r="J3" s="6">
        <v>214400</v>
      </c>
      <c r="K3" s="6">
        <v>354730</v>
      </c>
      <c r="L3" s="6">
        <v>446390</v>
      </c>
      <c r="M3" s="6">
        <v>467826</v>
      </c>
      <c r="N3" s="52">
        <v>343783.08333333331</v>
      </c>
    </row>
    <row r="4" spans="1:14" x14ac:dyDescent="0.3">
      <c r="A4" s="3" t="s">
        <v>4</v>
      </c>
      <c r="B4" s="7">
        <v>202435</v>
      </c>
      <c r="C4" s="7">
        <v>239998</v>
      </c>
      <c r="D4" s="7">
        <v>253730</v>
      </c>
      <c r="E4" s="7">
        <v>242078</v>
      </c>
      <c r="F4" s="7">
        <v>192422</v>
      </c>
      <c r="G4" s="7">
        <v>201889</v>
      </c>
      <c r="H4" s="7">
        <v>224375</v>
      </c>
      <c r="I4" s="7">
        <v>249656</v>
      </c>
      <c r="J4" s="7">
        <v>206853</v>
      </c>
      <c r="K4" s="7">
        <v>320685</v>
      </c>
      <c r="L4" s="7">
        <v>394126</v>
      </c>
      <c r="M4" s="7">
        <v>387036</v>
      </c>
      <c r="N4" s="52">
        <v>259606.91666666666</v>
      </c>
    </row>
    <row r="5" spans="1:14" x14ac:dyDescent="0.3">
      <c r="A5" s="2" t="s">
        <v>5</v>
      </c>
      <c r="B5" s="6">
        <v>158435</v>
      </c>
      <c r="C5" s="6">
        <v>144191</v>
      </c>
      <c r="D5" s="6">
        <v>46834</v>
      </c>
      <c r="E5" s="6">
        <v>0</v>
      </c>
      <c r="F5" s="6">
        <v>204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34</v>
      </c>
      <c r="N5" s="52">
        <v>29141.5</v>
      </c>
    </row>
    <row r="6" spans="1:14" x14ac:dyDescent="0.3">
      <c r="A6" s="3" t="s">
        <v>6</v>
      </c>
      <c r="B6" s="7">
        <v>841</v>
      </c>
      <c r="C6" s="7">
        <v>0</v>
      </c>
      <c r="D6" s="7">
        <v>152</v>
      </c>
      <c r="E6" s="7">
        <v>63770</v>
      </c>
      <c r="F6" s="7">
        <v>58746</v>
      </c>
      <c r="G6" s="7">
        <v>169286</v>
      </c>
      <c r="H6" s="7">
        <v>108154</v>
      </c>
      <c r="I6" s="7">
        <v>84855</v>
      </c>
      <c r="J6" s="7">
        <v>7547</v>
      </c>
      <c r="K6" s="7">
        <v>34045</v>
      </c>
      <c r="L6" s="7">
        <v>52264</v>
      </c>
      <c r="M6" s="7">
        <v>80756</v>
      </c>
      <c r="N6" s="52">
        <v>55034.666666666664</v>
      </c>
    </row>
    <row r="7" spans="1:14" x14ac:dyDescent="0.3">
      <c r="A7" s="3" t="s">
        <v>7</v>
      </c>
      <c r="B7" s="7">
        <v>625167</v>
      </c>
      <c r="C7" s="7">
        <v>604797</v>
      </c>
      <c r="D7" s="7">
        <v>431449</v>
      </c>
      <c r="E7" s="7">
        <v>383387</v>
      </c>
      <c r="F7" s="7">
        <v>377821</v>
      </c>
      <c r="G7" s="7">
        <v>417819</v>
      </c>
      <c r="H7" s="7">
        <v>405120</v>
      </c>
      <c r="I7" s="7">
        <v>419048</v>
      </c>
      <c r="J7" s="7">
        <v>315056</v>
      </c>
      <c r="K7" s="7">
        <v>966521</v>
      </c>
      <c r="L7" s="7">
        <v>1184636</v>
      </c>
      <c r="M7" s="7">
        <v>692069</v>
      </c>
      <c r="N7" s="52">
        <v>568574.16666666663</v>
      </c>
    </row>
    <row r="8" spans="1:14" x14ac:dyDescent="0.3">
      <c r="A8" s="3" t="s">
        <v>8</v>
      </c>
      <c r="B8" s="7">
        <v>1011148</v>
      </c>
      <c r="C8" s="7">
        <v>1061206</v>
      </c>
      <c r="D8" s="7">
        <v>879928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52">
        <v>246023.5</v>
      </c>
    </row>
    <row r="9" spans="1:14" ht="15" thickBot="1" x14ac:dyDescent="0.35">
      <c r="A9" s="2" t="s">
        <v>9</v>
      </c>
      <c r="B9" s="7">
        <v>0</v>
      </c>
      <c r="C9" s="7">
        <v>0</v>
      </c>
      <c r="D9" s="6">
        <v>0</v>
      </c>
      <c r="E9" s="6">
        <v>806920</v>
      </c>
      <c r="F9" s="6">
        <v>683531</v>
      </c>
      <c r="G9" s="6">
        <v>1016514</v>
      </c>
      <c r="H9" s="6">
        <v>1297993</v>
      </c>
      <c r="I9" s="6">
        <v>1333488</v>
      </c>
      <c r="J9" s="6">
        <v>1006539</v>
      </c>
      <c r="K9" s="6">
        <v>1556229</v>
      </c>
      <c r="L9" s="6">
        <v>1688609</v>
      </c>
      <c r="M9" s="6">
        <v>1229489</v>
      </c>
      <c r="N9" s="52">
        <v>884942.66666666663</v>
      </c>
    </row>
    <row r="10" spans="1:14" ht="15" thickBot="1" x14ac:dyDescent="0.35">
      <c r="A10" s="4" t="s">
        <v>10</v>
      </c>
      <c r="B10" s="8">
        <v>1011148</v>
      </c>
      <c r="C10" s="8">
        <v>1061206</v>
      </c>
      <c r="D10" s="8">
        <v>879928</v>
      </c>
      <c r="E10" s="9">
        <v>806920</v>
      </c>
      <c r="F10" s="9">
        <v>683531</v>
      </c>
      <c r="G10" s="9">
        <v>1016514</v>
      </c>
      <c r="H10" s="9">
        <v>1297993</v>
      </c>
      <c r="I10" s="9">
        <v>1333488</v>
      </c>
      <c r="J10" s="9">
        <v>1006539</v>
      </c>
      <c r="K10" s="9">
        <v>1556229</v>
      </c>
      <c r="L10" s="9">
        <v>1688609</v>
      </c>
      <c r="M10" s="9">
        <v>1229489</v>
      </c>
      <c r="N10" s="53">
        <v>1130966.1666666667</v>
      </c>
    </row>
    <row r="11" spans="1:14" x14ac:dyDescent="0.3">
      <c r="A11" s="2" t="s">
        <v>11</v>
      </c>
      <c r="B11" s="7">
        <v>0</v>
      </c>
      <c r="C11" s="7">
        <v>0</v>
      </c>
      <c r="D11" s="7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52">
        <v>0</v>
      </c>
    </row>
    <row r="12" spans="1:14" x14ac:dyDescent="0.3">
      <c r="A12" s="3" t="s">
        <v>12</v>
      </c>
      <c r="B12" s="6">
        <v>0</v>
      </c>
      <c r="C12" s="6">
        <v>0</v>
      </c>
      <c r="D12" s="6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52">
        <v>0</v>
      </c>
    </row>
    <row r="13" spans="1:14" x14ac:dyDescent="0.3">
      <c r="A13" s="2" t="s">
        <v>3</v>
      </c>
      <c r="B13" s="7">
        <v>0</v>
      </c>
      <c r="C13" s="7">
        <v>0</v>
      </c>
      <c r="D13" s="7">
        <v>62113</v>
      </c>
      <c r="E13" s="6">
        <v>53097</v>
      </c>
      <c r="F13" s="6">
        <v>52190</v>
      </c>
      <c r="G13" s="6">
        <v>23596</v>
      </c>
      <c r="H13" s="6">
        <v>912</v>
      </c>
      <c r="I13" s="6">
        <v>912</v>
      </c>
      <c r="J13" s="6">
        <v>74131</v>
      </c>
      <c r="K13" s="6">
        <v>74131</v>
      </c>
      <c r="L13" s="6">
        <v>74131</v>
      </c>
      <c r="M13" s="6">
        <v>912</v>
      </c>
      <c r="N13" s="52">
        <v>34677.083333333336</v>
      </c>
    </row>
    <row r="14" spans="1:14" x14ac:dyDescent="0.3">
      <c r="A14" s="3" t="s">
        <v>4</v>
      </c>
      <c r="B14" s="6">
        <v>0</v>
      </c>
      <c r="C14" s="6">
        <v>0</v>
      </c>
      <c r="D14" s="6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52">
        <v>0</v>
      </c>
    </row>
    <row r="15" spans="1:14" x14ac:dyDescent="0.3">
      <c r="A15" s="2" t="s">
        <v>5</v>
      </c>
      <c r="B15" s="7">
        <v>0</v>
      </c>
      <c r="C15" s="7">
        <v>0</v>
      </c>
      <c r="D15" s="7">
        <v>62113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52">
        <v>5176.083333333333</v>
      </c>
    </row>
    <row r="16" spans="1:14" x14ac:dyDescent="0.3">
      <c r="A16" s="3" t="s">
        <v>6</v>
      </c>
      <c r="B16" s="6">
        <v>0</v>
      </c>
      <c r="C16" s="6">
        <v>0</v>
      </c>
      <c r="D16" s="6">
        <v>0</v>
      </c>
      <c r="E16" s="7">
        <v>53097</v>
      </c>
      <c r="F16" s="7">
        <v>52190</v>
      </c>
      <c r="G16" s="7">
        <v>23596</v>
      </c>
      <c r="H16" s="7">
        <v>912</v>
      </c>
      <c r="I16" s="7">
        <v>912</v>
      </c>
      <c r="J16" s="7">
        <v>74131</v>
      </c>
      <c r="K16" s="7">
        <v>74131</v>
      </c>
      <c r="L16" s="7">
        <v>74131</v>
      </c>
      <c r="M16" s="7">
        <v>912</v>
      </c>
      <c r="N16" s="52">
        <v>29501</v>
      </c>
    </row>
    <row r="17" spans="1:14" x14ac:dyDescent="0.3">
      <c r="A17" s="3" t="s">
        <v>13</v>
      </c>
      <c r="B17" s="6">
        <v>964641</v>
      </c>
      <c r="C17" s="6">
        <v>926545</v>
      </c>
      <c r="D17" s="6">
        <v>689261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52">
        <v>215037.25</v>
      </c>
    </row>
    <row r="18" spans="1:14" x14ac:dyDescent="0.3">
      <c r="A18" s="2" t="s">
        <v>14</v>
      </c>
      <c r="B18" s="7">
        <v>3299</v>
      </c>
      <c r="C18" s="7">
        <v>2629</v>
      </c>
      <c r="D18" s="7">
        <v>2305</v>
      </c>
      <c r="E18" s="6">
        <v>659505</v>
      </c>
      <c r="F18" s="6">
        <v>609095</v>
      </c>
      <c r="G18" s="6">
        <v>559496</v>
      </c>
      <c r="H18" s="6">
        <v>527356</v>
      </c>
      <c r="I18" s="6">
        <v>490957</v>
      </c>
      <c r="J18" s="6">
        <v>452320</v>
      </c>
      <c r="K18" s="6">
        <v>442236</v>
      </c>
      <c r="L18" s="6">
        <v>450446</v>
      </c>
      <c r="M18" s="6">
        <v>473182</v>
      </c>
      <c r="N18" s="52">
        <v>389402.16666666669</v>
      </c>
    </row>
    <row r="19" spans="1:14" x14ac:dyDescent="0.3">
      <c r="A19" s="3" t="s">
        <v>15</v>
      </c>
      <c r="B19" s="6">
        <v>0</v>
      </c>
      <c r="C19" s="6">
        <v>0</v>
      </c>
      <c r="D19" s="6">
        <v>59956</v>
      </c>
      <c r="E19" s="7">
        <v>1978</v>
      </c>
      <c r="F19" s="7">
        <v>1979</v>
      </c>
      <c r="G19" s="7">
        <v>1616</v>
      </c>
      <c r="H19" s="7">
        <v>1255</v>
      </c>
      <c r="I19" s="7">
        <v>1422</v>
      </c>
      <c r="J19" s="7">
        <v>1066</v>
      </c>
      <c r="K19" s="7">
        <v>741</v>
      </c>
      <c r="L19" s="7">
        <v>765</v>
      </c>
      <c r="M19" s="7">
        <v>2316</v>
      </c>
      <c r="N19" s="52">
        <v>6091.166666666667</v>
      </c>
    </row>
    <row r="20" spans="1:14" ht="15" thickBot="1" x14ac:dyDescent="0.35">
      <c r="A20" s="2" t="s">
        <v>16</v>
      </c>
      <c r="B20" s="6">
        <v>70603</v>
      </c>
      <c r="C20" s="6">
        <v>70600</v>
      </c>
      <c r="D20" s="7">
        <v>0</v>
      </c>
      <c r="E20" s="6">
        <v>57806</v>
      </c>
      <c r="F20" s="6">
        <v>37128</v>
      </c>
      <c r="G20" s="6">
        <v>2789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52">
        <v>19910.5</v>
      </c>
    </row>
    <row r="21" spans="1:14" ht="15" thickBot="1" x14ac:dyDescent="0.35">
      <c r="A21" s="4" t="s">
        <v>17</v>
      </c>
      <c r="B21" s="8">
        <v>1038543</v>
      </c>
      <c r="C21" s="8">
        <v>999774</v>
      </c>
      <c r="D21" s="8">
        <v>813635</v>
      </c>
      <c r="E21" s="9">
        <v>772386</v>
      </c>
      <c r="F21" s="9">
        <v>700392</v>
      </c>
      <c r="G21" s="9">
        <v>587497</v>
      </c>
      <c r="H21" s="9">
        <v>529523</v>
      </c>
      <c r="I21" s="9">
        <v>493291</v>
      </c>
      <c r="J21" s="9">
        <v>527517</v>
      </c>
      <c r="K21" s="9">
        <v>517108</v>
      </c>
      <c r="L21" s="9">
        <v>525342</v>
      </c>
      <c r="M21" s="9">
        <v>476410</v>
      </c>
      <c r="N21" s="53">
        <v>665118.16666666663</v>
      </c>
    </row>
    <row r="22" spans="1:14" ht="15" thickBot="1" x14ac:dyDescent="0.35">
      <c r="A22" s="4" t="s">
        <v>18</v>
      </c>
      <c r="B22" s="8">
        <v>2049691</v>
      </c>
      <c r="C22" s="8">
        <v>2060980</v>
      </c>
      <c r="D22" s="8">
        <v>1693563</v>
      </c>
      <c r="E22" s="9">
        <v>1579306</v>
      </c>
      <c r="F22" s="9">
        <v>1383923</v>
      </c>
      <c r="G22" s="9">
        <v>1604011</v>
      </c>
      <c r="H22" s="9">
        <v>1827516</v>
      </c>
      <c r="I22" s="9">
        <v>1826779</v>
      </c>
      <c r="J22" s="9">
        <v>1534056</v>
      </c>
      <c r="K22" s="9">
        <v>2073337</v>
      </c>
      <c r="L22" s="9">
        <v>2213951</v>
      </c>
      <c r="M22" s="9">
        <v>1705899</v>
      </c>
      <c r="N22" s="53">
        <v>1796084.3333333333</v>
      </c>
    </row>
    <row r="23" spans="1:14" x14ac:dyDescent="0.3">
      <c r="A23" s="3" t="s">
        <v>19</v>
      </c>
      <c r="B23" s="7">
        <v>381812</v>
      </c>
      <c r="C23" s="7">
        <v>202074</v>
      </c>
      <c r="D23" s="7">
        <v>343735</v>
      </c>
      <c r="E23" s="7">
        <v>25598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211857</v>
      </c>
      <c r="M23" s="7">
        <v>161420</v>
      </c>
      <c r="N23" s="52">
        <v>110541.33333333333</v>
      </c>
    </row>
    <row r="24" spans="1:14" x14ac:dyDescent="0.3">
      <c r="A24" s="2" t="s">
        <v>20</v>
      </c>
      <c r="B24" s="6">
        <v>101029</v>
      </c>
      <c r="C24" s="6">
        <v>210628</v>
      </c>
      <c r="D24" s="6">
        <v>174754</v>
      </c>
      <c r="E24" s="6">
        <v>135050</v>
      </c>
      <c r="F24" s="6">
        <v>206118</v>
      </c>
      <c r="G24" s="6">
        <v>285145</v>
      </c>
      <c r="H24" s="6">
        <v>363515</v>
      </c>
      <c r="I24" s="6">
        <v>388404</v>
      </c>
      <c r="J24" s="6">
        <v>408738</v>
      </c>
      <c r="K24" s="6">
        <v>971784</v>
      </c>
      <c r="L24" s="6">
        <v>991842</v>
      </c>
      <c r="M24" s="6">
        <v>504344</v>
      </c>
      <c r="N24" s="52">
        <v>395112.58333333331</v>
      </c>
    </row>
    <row r="25" spans="1:14" x14ac:dyDescent="0.3">
      <c r="A25" s="3" t="s">
        <v>21</v>
      </c>
      <c r="B25" s="7">
        <v>74194</v>
      </c>
      <c r="C25" s="7">
        <v>114276</v>
      </c>
      <c r="D25" s="7">
        <v>103497</v>
      </c>
      <c r="E25" s="7">
        <v>77333</v>
      </c>
      <c r="F25" s="7">
        <v>120245</v>
      </c>
      <c r="G25" s="7">
        <v>132339</v>
      </c>
      <c r="H25" s="7">
        <v>172505</v>
      </c>
      <c r="I25" s="7">
        <v>145799</v>
      </c>
      <c r="J25" s="7">
        <v>224827</v>
      </c>
      <c r="K25" s="7">
        <v>528016</v>
      </c>
      <c r="L25" s="7">
        <v>246079</v>
      </c>
      <c r="M25" s="7">
        <v>227027</v>
      </c>
      <c r="N25" s="52">
        <v>180511.41666666666</v>
      </c>
    </row>
    <row r="26" spans="1:14" x14ac:dyDescent="0.3">
      <c r="A26" s="2" t="s">
        <v>22</v>
      </c>
      <c r="B26" s="6">
        <v>25779</v>
      </c>
      <c r="C26" s="6">
        <v>26871</v>
      </c>
      <c r="D26" s="6">
        <v>29108</v>
      </c>
      <c r="E26" s="6">
        <v>26143</v>
      </c>
      <c r="F26" s="6">
        <v>47303</v>
      </c>
      <c r="G26" s="6">
        <v>113093</v>
      </c>
      <c r="H26" s="6">
        <v>138598</v>
      </c>
      <c r="I26" s="6">
        <v>188398</v>
      </c>
      <c r="J26" s="6">
        <v>94266</v>
      </c>
      <c r="K26" s="6">
        <v>305139</v>
      </c>
      <c r="L26" s="6">
        <v>675631</v>
      </c>
      <c r="M26" s="6">
        <v>221589</v>
      </c>
      <c r="N26" s="52">
        <v>157659.83333333334</v>
      </c>
    </row>
    <row r="27" spans="1:14" x14ac:dyDescent="0.3">
      <c r="A27" s="3" t="s">
        <v>23</v>
      </c>
      <c r="B27" s="7">
        <v>1056</v>
      </c>
      <c r="C27" s="7">
        <v>69481</v>
      </c>
      <c r="D27" s="7">
        <v>42149</v>
      </c>
      <c r="E27" s="7">
        <v>31574</v>
      </c>
      <c r="F27" s="7">
        <v>38570</v>
      </c>
      <c r="G27" s="7">
        <v>39713</v>
      </c>
      <c r="H27" s="7">
        <v>52412</v>
      </c>
      <c r="I27" s="7">
        <v>54207</v>
      </c>
      <c r="J27" s="7">
        <v>89645</v>
      </c>
      <c r="K27" s="7">
        <v>138629</v>
      </c>
      <c r="L27" s="7">
        <v>70132</v>
      </c>
      <c r="M27" s="7">
        <v>55728</v>
      </c>
      <c r="N27" s="52">
        <v>56941.333333333336</v>
      </c>
    </row>
    <row r="28" spans="1:14" x14ac:dyDescent="0.3">
      <c r="A28" s="2" t="s">
        <v>24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2229</v>
      </c>
      <c r="J28" s="6">
        <v>2128</v>
      </c>
      <c r="K28" s="6">
        <v>3003</v>
      </c>
      <c r="L28" s="6">
        <v>3394</v>
      </c>
      <c r="M28" s="6">
        <v>4170</v>
      </c>
      <c r="N28" s="52">
        <v>1243.6666666666667</v>
      </c>
    </row>
    <row r="29" spans="1:14" ht="22.8" thickBot="1" x14ac:dyDescent="0.35">
      <c r="A29" s="3" t="s">
        <v>25</v>
      </c>
      <c r="B29" s="7">
        <v>482841</v>
      </c>
      <c r="C29" s="7">
        <v>412702</v>
      </c>
      <c r="D29" s="7">
        <v>518489</v>
      </c>
      <c r="E29" s="7">
        <v>160648</v>
      </c>
      <c r="F29" s="7">
        <v>206118</v>
      </c>
      <c r="G29" s="7">
        <v>285145</v>
      </c>
      <c r="H29" s="7">
        <v>363515</v>
      </c>
      <c r="I29" s="7">
        <v>390633</v>
      </c>
      <c r="J29" s="7">
        <v>410866</v>
      </c>
      <c r="K29" s="7">
        <v>974787</v>
      </c>
      <c r="L29" s="7">
        <v>1207093</v>
      </c>
      <c r="M29" s="7">
        <v>669934</v>
      </c>
      <c r="N29" s="52">
        <v>506897.58333333331</v>
      </c>
    </row>
    <row r="30" spans="1:14" ht="15" thickBot="1" x14ac:dyDescent="0.35">
      <c r="A30" s="4" t="s">
        <v>26</v>
      </c>
      <c r="B30" s="8">
        <v>482841</v>
      </c>
      <c r="C30" s="8">
        <v>412702</v>
      </c>
      <c r="D30" s="8">
        <v>518489</v>
      </c>
      <c r="E30" s="9">
        <v>160648</v>
      </c>
      <c r="F30" s="9">
        <v>206118</v>
      </c>
      <c r="G30" s="9">
        <v>285145</v>
      </c>
      <c r="H30" s="9">
        <v>363515</v>
      </c>
      <c r="I30" s="9">
        <v>390633</v>
      </c>
      <c r="J30" s="9">
        <v>410866</v>
      </c>
      <c r="K30" s="9">
        <v>974787</v>
      </c>
      <c r="L30" s="9">
        <v>1207093</v>
      </c>
      <c r="M30" s="9">
        <v>669934</v>
      </c>
      <c r="N30" s="53">
        <v>506897.58333333331</v>
      </c>
    </row>
    <row r="31" spans="1:14" x14ac:dyDescent="0.3">
      <c r="A31" s="3" t="s">
        <v>19</v>
      </c>
      <c r="B31" s="7">
        <v>575150</v>
      </c>
      <c r="C31" s="7">
        <v>342510</v>
      </c>
      <c r="D31" s="7">
        <v>112088</v>
      </c>
      <c r="E31" s="7">
        <v>341300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52">
        <v>114254</v>
      </c>
    </row>
    <row r="32" spans="1:14" x14ac:dyDescent="0.3">
      <c r="A32" s="3" t="s">
        <v>27</v>
      </c>
      <c r="B32" s="7">
        <v>33736</v>
      </c>
      <c r="C32" s="7">
        <v>38256</v>
      </c>
      <c r="D32" s="7">
        <v>0</v>
      </c>
      <c r="E32" s="7">
        <v>0</v>
      </c>
      <c r="F32" s="7">
        <v>0</v>
      </c>
      <c r="G32" s="7">
        <v>0</v>
      </c>
      <c r="H32" s="7">
        <v>12791</v>
      </c>
      <c r="I32" s="7">
        <v>14814</v>
      </c>
      <c r="J32" s="7">
        <v>12142</v>
      </c>
      <c r="K32" s="7">
        <v>8479</v>
      </c>
      <c r="L32" s="7">
        <v>6927</v>
      </c>
      <c r="M32" s="7">
        <v>3686</v>
      </c>
      <c r="N32" s="52">
        <v>10902.583333333334</v>
      </c>
    </row>
    <row r="33" spans="1:14" ht="15" thickBot="1" x14ac:dyDescent="0.35">
      <c r="A33" s="3" t="s">
        <v>24</v>
      </c>
      <c r="B33" s="6">
        <v>0</v>
      </c>
      <c r="C33" s="6">
        <v>0</v>
      </c>
      <c r="D33" s="6">
        <v>0</v>
      </c>
      <c r="E33" s="7">
        <v>0</v>
      </c>
      <c r="F33" s="7">
        <v>0</v>
      </c>
      <c r="G33" s="7">
        <v>0</v>
      </c>
      <c r="H33" s="7">
        <v>0</v>
      </c>
      <c r="I33" s="7">
        <v>6332</v>
      </c>
      <c r="J33" s="7">
        <v>5552</v>
      </c>
      <c r="K33" s="7">
        <v>11164</v>
      </c>
      <c r="L33" s="7">
        <v>9507</v>
      </c>
      <c r="M33" s="7">
        <v>7744</v>
      </c>
      <c r="N33" s="52">
        <v>3358.25</v>
      </c>
    </row>
    <row r="34" spans="1:14" ht="15" thickBot="1" x14ac:dyDescent="0.35">
      <c r="A34" s="4" t="s">
        <v>28</v>
      </c>
      <c r="B34" s="8">
        <v>608886</v>
      </c>
      <c r="C34" s="8">
        <v>380766</v>
      </c>
      <c r="D34" s="8">
        <v>112088</v>
      </c>
      <c r="E34" s="9">
        <v>341300</v>
      </c>
      <c r="F34" s="9">
        <v>0</v>
      </c>
      <c r="G34" s="9">
        <v>0</v>
      </c>
      <c r="H34" s="9">
        <v>12791</v>
      </c>
      <c r="I34" s="9">
        <v>21146</v>
      </c>
      <c r="J34" s="9">
        <v>17694</v>
      </c>
      <c r="K34" s="9">
        <v>19643</v>
      </c>
      <c r="L34" s="9">
        <v>16434</v>
      </c>
      <c r="M34" s="9">
        <v>11430</v>
      </c>
      <c r="N34" s="53">
        <v>128514.83333333333</v>
      </c>
    </row>
    <row r="35" spans="1:14" ht="15" thickBot="1" x14ac:dyDescent="0.35">
      <c r="A35" s="4" t="s">
        <v>29</v>
      </c>
      <c r="B35" s="8">
        <v>1091727</v>
      </c>
      <c r="C35" s="8">
        <v>793468</v>
      </c>
      <c r="D35" s="8">
        <v>630577</v>
      </c>
      <c r="E35" s="9">
        <v>501948</v>
      </c>
      <c r="F35" s="9">
        <v>206118</v>
      </c>
      <c r="G35" s="9">
        <v>285145</v>
      </c>
      <c r="H35" s="9">
        <v>376306</v>
      </c>
      <c r="I35" s="9">
        <v>411779</v>
      </c>
      <c r="J35" s="9">
        <v>428560</v>
      </c>
      <c r="K35" s="9">
        <v>994430</v>
      </c>
      <c r="L35" s="9">
        <v>1223527</v>
      </c>
      <c r="M35" s="9">
        <v>681364</v>
      </c>
      <c r="N35" s="53">
        <v>635412.41666666663</v>
      </c>
    </row>
    <row r="36" spans="1:14" x14ac:dyDescent="0.3">
      <c r="A36" s="3" t="s">
        <v>30</v>
      </c>
      <c r="B36" s="6">
        <v>917717</v>
      </c>
      <c r="C36" s="6">
        <v>1227918</v>
      </c>
      <c r="D36" s="6">
        <v>1227918</v>
      </c>
      <c r="E36" s="7">
        <v>1227918</v>
      </c>
      <c r="F36" s="7">
        <v>1227918</v>
      </c>
      <c r="G36" s="7">
        <v>1227918</v>
      </c>
      <c r="H36" s="7">
        <v>1227918</v>
      </c>
      <c r="I36" s="7">
        <v>1227918</v>
      </c>
      <c r="J36" s="7">
        <v>887918</v>
      </c>
      <c r="K36" s="7">
        <v>700000</v>
      </c>
      <c r="L36" s="7">
        <v>700000</v>
      </c>
      <c r="M36" s="7">
        <v>700000</v>
      </c>
      <c r="N36" s="52">
        <v>1041755.0833333334</v>
      </c>
    </row>
    <row r="37" spans="1:14" x14ac:dyDescent="0.3">
      <c r="A37" s="2" t="s">
        <v>31</v>
      </c>
      <c r="B37" s="7">
        <v>83000</v>
      </c>
      <c r="C37" s="7">
        <v>83000</v>
      </c>
      <c r="D37" s="7">
        <v>83000</v>
      </c>
      <c r="E37" s="6">
        <v>83000</v>
      </c>
      <c r="F37" s="6">
        <v>83000</v>
      </c>
      <c r="G37" s="6">
        <v>83000</v>
      </c>
      <c r="H37" s="6">
        <v>83000</v>
      </c>
      <c r="I37" s="6">
        <v>83000</v>
      </c>
      <c r="J37" s="6">
        <v>83000</v>
      </c>
      <c r="K37" s="6">
        <v>83000</v>
      </c>
      <c r="L37" s="6">
        <v>83000</v>
      </c>
      <c r="M37" s="6">
        <v>83000</v>
      </c>
      <c r="N37" s="52">
        <v>83000</v>
      </c>
    </row>
    <row r="38" spans="1:14" x14ac:dyDescent="0.3">
      <c r="A38" s="3" t="s">
        <v>32</v>
      </c>
      <c r="B38" s="6">
        <v>995</v>
      </c>
      <c r="C38" s="6">
        <v>995</v>
      </c>
      <c r="D38" s="6">
        <v>995</v>
      </c>
      <c r="E38" s="7">
        <v>995</v>
      </c>
      <c r="F38" s="7">
        <v>995</v>
      </c>
      <c r="G38" s="7">
        <v>995</v>
      </c>
      <c r="H38" s="7">
        <v>995</v>
      </c>
      <c r="I38" s="7">
        <v>14925</v>
      </c>
      <c r="J38" s="7">
        <v>23841</v>
      </c>
      <c r="K38" s="7">
        <v>34914</v>
      </c>
      <c r="L38" s="7">
        <v>67213</v>
      </c>
      <c r="M38" s="7">
        <v>89234</v>
      </c>
      <c r="N38" s="52">
        <v>19757.666666666668</v>
      </c>
    </row>
    <row r="39" spans="1:14" x14ac:dyDescent="0.3">
      <c r="A39" s="2" t="s">
        <v>33</v>
      </c>
      <c r="B39" s="7">
        <v>-42310</v>
      </c>
      <c r="C39" s="7">
        <v>-44172</v>
      </c>
      <c r="D39" s="7">
        <v>-248927</v>
      </c>
      <c r="E39" s="6">
        <v>-234555</v>
      </c>
      <c r="F39" s="6">
        <v>-134108</v>
      </c>
      <c r="G39" s="6">
        <v>6953</v>
      </c>
      <c r="H39" s="6">
        <v>139297</v>
      </c>
      <c r="I39" s="6">
        <v>89157</v>
      </c>
      <c r="J39" s="6">
        <v>110737</v>
      </c>
      <c r="K39" s="6">
        <v>260993</v>
      </c>
      <c r="L39" s="6">
        <v>140211</v>
      </c>
      <c r="M39" s="6">
        <v>152301</v>
      </c>
      <c r="N39" s="52">
        <v>16298.083333333334</v>
      </c>
    </row>
    <row r="40" spans="1:14" ht="15" thickBot="1" x14ac:dyDescent="0.35">
      <c r="A40" s="3" t="s">
        <v>34</v>
      </c>
      <c r="B40" s="6">
        <v>-1438</v>
      </c>
      <c r="C40" s="6">
        <v>-229</v>
      </c>
      <c r="D40" s="6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52">
        <v>-138.91666666666666</v>
      </c>
    </row>
    <row r="41" spans="1:14" ht="15" thickBot="1" x14ac:dyDescent="0.35">
      <c r="A41" s="4" t="s">
        <v>35</v>
      </c>
      <c r="B41" s="8">
        <v>957964</v>
      </c>
      <c r="C41" s="8">
        <v>1267512</v>
      </c>
      <c r="D41" s="8">
        <v>1062986</v>
      </c>
      <c r="E41" s="9">
        <v>1077358</v>
      </c>
      <c r="F41" s="9">
        <v>1177805</v>
      </c>
      <c r="G41" s="9">
        <v>1318866</v>
      </c>
      <c r="H41" s="9">
        <v>1451210</v>
      </c>
      <c r="I41" s="9">
        <v>1415000</v>
      </c>
      <c r="J41" s="9">
        <v>1105496</v>
      </c>
      <c r="K41" s="9">
        <v>1078907</v>
      </c>
      <c r="L41" s="9">
        <v>990424</v>
      </c>
      <c r="M41" s="9">
        <v>1024535</v>
      </c>
      <c r="N41" s="53">
        <v>1160671.9166666667</v>
      </c>
    </row>
    <row r="42" spans="1:14" ht="15" thickBot="1" x14ac:dyDescent="0.35">
      <c r="A42" s="4" t="s">
        <v>36</v>
      </c>
      <c r="B42" s="8">
        <v>2049691</v>
      </c>
      <c r="C42" s="8">
        <v>2060980</v>
      </c>
      <c r="D42" s="8">
        <v>1693563</v>
      </c>
      <c r="E42" s="9">
        <v>1579306</v>
      </c>
      <c r="F42" s="9">
        <v>1383923</v>
      </c>
      <c r="G42" s="9">
        <v>1604011</v>
      </c>
      <c r="H42" s="9">
        <v>1827516</v>
      </c>
      <c r="I42" s="9">
        <v>1826779</v>
      </c>
      <c r="J42" s="9">
        <v>1534056</v>
      </c>
      <c r="K42" s="9">
        <v>2073337</v>
      </c>
      <c r="L42" s="9">
        <v>2213951</v>
      </c>
      <c r="M42" s="9">
        <v>1705899</v>
      </c>
      <c r="N42" s="53">
        <v>1796084.3333333333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948AC-A2CA-4E1F-8D2A-4FB2CE066666}">
  <dimension ref="A1:N20"/>
  <sheetViews>
    <sheetView workbookViewId="0">
      <selection activeCell="B1" sqref="B1:M1"/>
    </sheetView>
  </sheetViews>
  <sheetFormatPr baseColWidth="10" defaultRowHeight="14.4" x14ac:dyDescent="0.3"/>
  <cols>
    <col min="1" max="1" width="28.33203125" customWidth="1"/>
    <col min="14" max="14" width="14.77734375" customWidth="1"/>
  </cols>
  <sheetData>
    <row r="1" spans="1:14" x14ac:dyDescent="0.3">
      <c r="A1" s="10" t="s">
        <v>0</v>
      </c>
      <c r="B1" s="11">
        <v>2012</v>
      </c>
      <c r="C1" s="11">
        <v>2013</v>
      </c>
      <c r="D1" s="11">
        <v>2014</v>
      </c>
      <c r="E1" s="11">
        <v>2015</v>
      </c>
      <c r="F1" s="11">
        <v>2016</v>
      </c>
      <c r="G1" s="11">
        <v>2017</v>
      </c>
      <c r="H1" s="11">
        <v>2018</v>
      </c>
      <c r="I1" s="11">
        <v>2019</v>
      </c>
      <c r="J1" s="11">
        <v>2020</v>
      </c>
      <c r="K1" s="11">
        <v>2021</v>
      </c>
      <c r="L1" s="11">
        <v>2022</v>
      </c>
      <c r="M1" s="11">
        <v>2023</v>
      </c>
      <c r="N1" s="55" t="s">
        <v>37</v>
      </c>
    </row>
    <row r="2" spans="1:14" x14ac:dyDescent="0.3">
      <c r="A2" s="12" t="s">
        <v>38</v>
      </c>
      <c r="B2" s="13">
        <v>1681492</v>
      </c>
      <c r="C2" s="13">
        <v>1738496</v>
      </c>
      <c r="D2" s="13">
        <v>1607544</v>
      </c>
      <c r="E2" s="13">
        <v>1486080</v>
      </c>
      <c r="F2" s="13">
        <v>1437931</v>
      </c>
      <c r="G2" s="13">
        <v>1323554</v>
      </c>
      <c r="H2" s="13">
        <v>1580684</v>
      </c>
      <c r="I2" s="13">
        <v>1578074</v>
      </c>
      <c r="J2" s="13">
        <v>1368465</v>
      </c>
      <c r="K2" s="13">
        <v>2439612</v>
      </c>
      <c r="L2" s="13">
        <v>2743235</v>
      </c>
      <c r="M2" s="13">
        <v>2384796</v>
      </c>
      <c r="N2" s="88">
        <f>+AVERAGE(B2:M2)</f>
        <v>1780830.25</v>
      </c>
    </row>
    <row r="3" spans="1:14" x14ac:dyDescent="0.3">
      <c r="A3" s="3" t="s">
        <v>39</v>
      </c>
      <c r="B3" s="7">
        <v>-1716145</v>
      </c>
      <c r="C3" s="7">
        <v>-1616987</v>
      </c>
      <c r="D3" s="7">
        <v>-1614156</v>
      </c>
      <c r="E3" s="7">
        <v>-1369975</v>
      </c>
      <c r="F3" s="7">
        <v>-1268306</v>
      </c>
      <c r="G3" s="7">
        <v>-1168985</v>
      </c>
      <c r="H3" s="7">
        <v>-1354496</v>
      </c>
      <c r="I3" s="7">
        <v>-1415806</v>
      </c>
      <c r="J3" s="7">
        <v>-1152699</v>
      </c>
      <c r="K3" s="7">
        <v>-1897278</v>
      </c>
      <c r="L3" s="7">
        <v>-2359981</v>
      </c>
      <c r="M3" s="7">
        <v>-2157883</v>
      </c>
      <c r="N3" s="88">
        <f t="shared" ref="N3:N20" si="0">+AVERAGE(B3:M3)</f>
        <v>-1591058.0833333333</v>
      </c>
    </row>
    <row r="4" spans="1:14" ht="15" thickBot="1" x14ac:dyDescent="0.35">
      <c r="A4" s="14" t="s">
        <v>40</v>
      </c>
      <c r="B4" s="15">
        <v>-34653</v>
      </c>
      <c r="C4" s="15">
        <v>121509</v>
      </c>
      <c r="D4" s="15">
        <v>-6612</v>
      </c>
      <c r="E4" s="15">
        <v>116105</v>
      </c>
      <c r="F4" s="15">
        <v>169625</v>
      </c>
      <c r="G4" s="15">
        <v>154569</v>
      </c>
      <c r="H4" s="15">
        <v>226188</v>
      </c>
      <c r="I4" s="15">
        <v>162268</v>
      </c>
      <c r="J4" s="15">
        <v>215766</v>
      </c>
      <c r="K4" s="15">
        <v>542334</v>
      </c>
      <c r="L4" s="15">
        <v>383254</v>
      </c>
      <c r="M4" s="15">
        <v>226913</v>
      </c>
      <c r="N4" s="89">
        <f t="shared" si="0"/>
        <v>189772.16666666666</v>
      </c>
    </row>
    <row r="5" spans="1:14" x14ac:dyDescent="0.3">
      <c r="A5" s="3" t="s">
        <v>41</v>
      </c>
      <c r="B5" s="7">
        <v>-51640</v>
      </c>
      <c r="C5" s="7">
        <v>-13835</v>
      </c>
      <c r="D5" s="7">
        <v>-20918</v>
      </c>
      <c r="E5" s="7">
        <v>-20538</v>
      </c>
      <c r="F5" s="7">
        <v>-19077</v>
      </c>
      <c r="G5" s="7">
        <v>-16549</v>
      </c>
      <c r="H5" s="7">
        <v>-17290</v>
      </c>
      <c r="I5" s="7">
        <v>-19672</v>
      </c>
      <c r="J5" s="7">
        <v>-16188</v>
      </c>
      <c r="K5" s="7">
        <v>-23336</v>
      </c>
      <c r="L5" s="7">
        <v>-23185</v>
      </c>
      <c r="M5" s="7">
        <v>-20748</v>
      </c>
      <c r="N5" s="88">
        <f t="shared" si="0"/>
        <v>-21914.666666666668</v>
      </c>
    </row>
    <row r="6" spans="1:14" x14ac:dyDescent="0.3">
      <c r="A6" s="2" t="s">
        <v>42</v>
      </c>
      <c r="B6" s="6">
        <v>-45229</v>
      </c>
      <c r="C6" s="6">
        <v>-41472</v>
      </c>
      <c r="D6" s="6">
        <v>-44624</v>
      </c>
      <c r="E6" s="6">
        <v>-41046</v>
      </c>
      <c r="F6" s="6">
        <v>-33951</v>
      </c>
      <c r="G6" s="6">
        <v>-38137</v>
      </c>
      <c r="H6" s="6">
        <v>-31074</v>
      </c>
      <c r="I6" s="6">
        <v>-31537</v>
      </c>
      <c r="J6" s="6">
        <v>-28229</v>
      </c>
      <c r="K6" s="6">
        <v>-36068</v>
      </c>
      <c r="L6" s="6">
        <v>-41755</v>
      </c>
      <c r="M6" s="6">
        <v>-42313</v>
      </c>
      <c r="N6" s="88">
        <f t="shared" si="0"/>
        <v>-37952.916666666664</v>
      </c>
    </row>
    <row r="7" spans="1:14" x14ac:dyDescent="0.3">
      <c r="A7" s="3" t="s">
        <v>43</v>
      </c>
      <c r="B7" s="6">
        <v>8537</v>
      </c>
      <c r="C7" s="6">
        <v>13032</v>
      </c>
      <c r="D7" s="6">
        <v>25443</v>
      </c>
      <c r="E7" s="7">
        <v>9459</v>
      </c>
      <c r="F7" s="7">
        <v>20949</v>
      </c>
      <c r="G7" s="7">
        <v>125644</v>
      </c>
      <c r="H7" s="7">
        <v>10338</v>
      </c>
      <c r="I7" s="7">
        <v>25159</v>
      </c>
      <c r="J7" s="7">
        <v>22207</v>
      </c>
      <c r="K7" s="7">
        <v>22498</v>
      </c>
      <c r="L7" s="7">
        <v>10890</v>
      </c>
      <c r="M7" s="7">
        <v>28870</v>
      </c>
      <c r="N7" s="88">
        <f t="shared" si="0"/>
        <v>26918.833333333332</v>
      </c>
    </row>
    <row r="8" spans="1:14" x14ac:dyDescent="0.3">
      <c r="A8" s="2" t="s">
        <v>44</v>
      </c>
      <c r="B8" s="7">
        <v>-26608</v>
      </c>
      <c r="C8" s="7">
        <v>-11705</v>
      </c>
      <c r="D8" s="7">
        <v>-224227</v>
      </c>
      <c r="E8" s="6">
        <v>-6617</v>
      </c>
      <c r="F8" s="6">
        <v>-8697</v>
      </c>
      <c r="G8" s="6">
        <v>-45353</v>
      </c>
      <c r="H8" s="6">
        <v>-8423</v>
      </c>
      <c r="I8" s="6">
        <v>-2619</v>
      </c>
      <c r="J8" s="6">
        <v>-17068</v>
      </c>
      <c r="K8" s="6">
        <v>-7698</v>
      </c>
      <c r="L8" s="6">
        <v>-3370</v>
      </c>
      <c r="M8" s="6">
        <v>-11213</v>
      </c>
      <c r="N8" s="88">
        <f t="shared" si="0"/>
        <v>-31133.166666666668</v>
      </c>
    </row>
    <row r="9" spans="1:14" ht="15" thickBot="1" x14ac:dyDescent="0.35">
      <c r="A9" s="14" t="s">
        <v>45</v>
      </c>
      <c r="B9" s="16">
        <v>-149593</v>
      </c>
      <c r="C9" s="16">
        <v>67529</v>
      </c>
      <c r="D9" s="16">
        <v>-270938</v>
      </c>
      <c r="E9" s="15">
        <v>57363</v>
      </c>
      <c r="F9" s="15">
        <v>128849</v>
      </c>
      <c r="G9" s="15">
        <v>180174</v>
      </c>
      <c r="H9" s="15">
        <v>179739</v>
      </c>
      <c r="I9" s="15">
        <v>133599</v>
      </c>
      <c r="J9" s="15">
        <v>176488</v>
      </c>
      <c r="K9" s="15">
        <v>497730</v>
      </c>
      <c r="L9" s="15">
        <v>325834</v>
      </c>
      <c r="M9" s="15">
        <v>181509</v>
      </c>
      <c r="N9" s="89">
        <f t="shared" si="0"/>
        <v>125690.25</v>
      </c>
    </row>
    <row r="10" spans="1:14" x14ac:dyDescent="0.3">
      <c r="A10" s="2" t="s">
        <v>46</v>
      </c>
      <c r="B10" s="6">
        <v>1114</v>
      </c>
      <c r="C10" s="6">
        <v>1370</v>
      </c>
      <c r="D10" s="6">
        <v>1140</v>
      </c>
      <c r="E10" s="6">
        <v>1615</v>
      </c>
      <c r="F10" s="6">
        <v>1282</v>
      </c>
      <c r="G10" s="6">
        <v>2529</v>
      </c>
      <c r="H10" s="6">
        <v>7468</v>
      </c>
      <c r="I10" s="6">
        <v>12845</v>
      </c>
      <c r="J10" s="6">
        <v>5191</v>
      </c>
      <c r="K10" s="6">
        <v>1385</v>
      </c>
      <c r="L10" s="6">
        <v>2227</v>
      </c>
      <c r="M10" s="6">
        <v>29300</v>
      </c>
      <c r="N10" s="88">
        <f t="shared" si="0"/>
        <v>5622.166666666667</v>
      </c>
    </row>
    <row r="11" spans="1:14" x14ac:dyDescent="0.3">
      <c r="A11" s="2" t="s">
        <v>47</v>
      </c>
      <c r="B11" s="7">
        <v>-29596</v>
      </c>
      <c r="C11" s="7">
        <v>-19201</v>
      </c>
      <c r="D11" s="7">
        <v>-12957</v>
      </c>
      <c r="E11" s="6">
        <v>-11445</v>
      </c>
      <c r="F11" s="6">
        <v>-7211</v>
      </c>
      <c r="G11" s="6">
        <v>-2366</v>
      </c>
      <c r="H11" s="6">
        <v>-4</v>
      </c>
      <c r="I11" s="6">
        <v>-671</v>
      </c>
      <c r="J11" s="6">
        <v>-2870</v>
      </c>
      <c r="K11" s="6">
        <v>-798</v>
      </c>
      <c r="L11" s="6">
        <v>-8339</v>
      </c>
      <c r="M11" s="6">
        <v>-35958</v>
      </c>
      <c r="N11" s="88">
        <f t="shared" si="0"/>
        <v>-10951.333333333334</v>
      </c>
    </row>
    <row r="12" spans="1:14" x14ac:dyDescent="0.3">
      <c r="A12" s="3" t="s">
        <v>48</v>
      </c>
      <c r="B12" s="6">
        <v>45894</v>
      </c>
      <c r="C12" s="6">
        <v>-47558</v>
      </c>
      <c r="D12" s="6">
        <v>-20310</v>
      </c>
      <c r="E12" s="7">
        <v>-31012</v>
      </c>
      <c r="F12" s="7">
        <v>-1794</v>
      </c>
      <c r="G12" s="7">
        <v>-4937</v>
      </c>
      <c r="H12" s="7">
        <v>4668</v>
      </c>
      <c r="I12" s="7">
        <v>-8653</v>
      </c>
      <c r="J12" s="7">
        <v>12029</v>
      </c>
      <c r="K12" s="7">
        <v>-37004</v>
      </c>
      <c r="L12" s="7">
        <v>995</v>
      </c>
      <c r="M12" s="7">
        <v>6705</v>
      </c>
      <c r="N12" s="88">
        <f t="shared" si="0"/>
        <v>-6748.083333333333</v>
      </c>
    </row>
    <row r="13" spans="1:14" ht="15" thickBot="1" x14ac:dyDescent="0.35">
      <c r="A13" s="14" t="s">
        <v>49</v>
      </c>
      <c r="B13" s="15">
        <v>-132181</v>
      </c>
      <c r="C13" s="15">
        <v>2140</v>
      </c>
      <c r="D13" s="15">
        <v>-303065</v>
      </c>
      <c r="E13" s="15">
        <v>16521</v>
      </c>
      <c r="F13" s="15">
        <v>121126</v>
      </c>
      <c r="G13" s="15">
        <v>175400</v>
      </c>
      <c r="H13" s="15">
        <v>191871</v>
      </c>
      <c r="I13" s="15">
        <v>137120</v>
      </c>
      <c r="J13" s="15">
        <v>190838</v>
      </c>
      <c r="K13" s="15">
        <v>461313</v>
      </c>
      <c r="L13" s="15">
        <v>320717</v>
      </c>
      <c r="M13" s="15">
        <v>181556</v>
      </c>
      <c r="N13" s="89">
        <f t="shared" si="0"/>
        <v>113613</v>
      </c>
    </row>
    <row r="14" spans="1:14" x14ac:dyDescent="0.3">
      <c r="A14" s="3" t="s">
        <v>50</v>
      </c>
      <c r="B14" s="7">
        <v>32952</v>
      </c>
      <c r="C14" s="7">
        <v>-4002</v>
      </c>
      <c r="D14" s="7">
        <v>98310</v>
      </c>
      <c r="E14" s="7">
        <v>-2149</v>
      </c>
      <c r="F14" s="7">
        <v>-20679</v>
      </c>
      <c r="G14" s="7">
        <v>-34339</v>
      </c>
      <c r="H14" s="7">
        <v>-59527</v>
      </c>
      <c r="I14" s="7">
        <v>-47963</v>
      </c>
      <c r="J14" s="7">
        <v>-80101</v>
      </c>
      <c r="K14" s="7">
        <v>-138320</v>
      </c>
      <c r="L14" s="7">
        <v>-100507</v>
      </c>
      <c r="M14" s="7">
        <v>-65845</v>
      </c>
      <c r="N14" s="88">
        <f t="shared" si="0"/>
        <v>-35180.833333333336</v>
      </c>
    </row>
    <row r="15" spans="1:14" ht="22.2" x14ac:dyDescent="0.3">
      <c r="A15" s="2" t="s">
        <v>51</v>
      </c>
      <c r="B15" s="6">
        <v>-99229</v>
      </c>
      <c r="C15" s="6">
        <v>-1862</v>
      </c>
      <c r="D15" s="6">
        <v>-204755</v>
      </c>
      <c r="E15" s="6">
        <v>14372</v>
      </c>
      <c r="F15" s="6">
        <v>100447</v>
      </c>
      <c r="G15" s="6">
        <v>141061</v>
      </c>
      <c r="H15" s="6">
        <v>132344</v>
      </c>
      <c r="I15" s="6">
        <v>89157</v>
      </c>
      <c r="J15" s="6">
        <v>110737</v>
      </c>
      <c r="K15" s="6">
        <v>322993</v>
      </c>
      <c r="L15" s="6">
        <v>220210</v>
      </c>
      <c r="M15" s="6">
        <v>115711</v>
      </c>
      <c r="N15" s="88">
        <f t="shared" si="0"/>
        <v>78432.166666666672</v>
      </c>
    </row>
    <row r="16" spans="1:14" ht="15" thickBot="1" x14ac:dyDescent="0.35">
      <c r="A16" s="14" t="s">
        <v>52</v>
      </c>
      <c r="B16" s="15">
        <v>-99229</v>
      </c>
      <c r="C16" s="15">
        <v>-1862</v>
      </c>
      <c r="D16" s="15">
        <v>-204755</v>
      </c>
      <c r="E16" s="15">
        <v>14372</v>
      </c>
      <c r="F16" s="15">
        <v>100447</v>
      </c>
      <c r="G16" s="15">
        <v>141061</v>
      </c>
      <c r="H16" s="15">
        <v>132344</v>
      </c>
      <c r="I16" s="15">
        <v>89157</v>
      </c>
      <c r="J16" s="15">
        <v>110737</v>
      </c>
      <c r="K16" s="15">
        <v>322993</v>
      </c>
      <c r="L16" s="15">
        <v>220210</v>
      </c>
      <c r="M16" s="15">
        <v>115711</v>
      </c>
      <c r="N16" s="89">
        <f t="shared" si="0"/>
        <v>78432.166666666672</v>
      </c>
    </row>
    <row r="17" spans="1:14" x14ac:dyDescent="0.3">
      <c r="A17" s="3" t="s">
        <v>53</v>
      </c>
      <c r="B17" s="7">
        <v>-0.108</v>
      </c>
      <c r="C17" s="7">
        <v>-2E-3</v>
      </c>
      <c r="D17" s="7">
        <v>-0.16700000000000001</v>
      </c>
      <c r="E17" s="7">
        <v>1.2E-2</v>
      </c>
      <c r="F17" s="7">
        <v>8.2000000000000003E-2</v>
      </c>
      <c r="G17" s="7">
        <v>0.115</v>
      </c>
      <c r="H17" s="7">
        <v>0.108</v>
      </c>
      <c r="I17" s="7">
        <v>7.2999999999999995E-2</v>
      </c>
      <c r="J17" s="7">
        <v>0.125</v>
      </c>
      <c r="K17" s="7">
        <v>0.46100000000000002</v>
      </c>
      <c r="L17" s="7">
        <v>0.315</v>
      </c>
      <c r="M17" s="7">
        <v>0.16500000000000001</v>
      </c>
      <c r="N17" s="88">
        <f t="shared" si="0"/>
        <v>9.8250000000000004E-2</v>
      </c>
    </row>
    <row r="18" spans="1:14" ht="22.2" x14ac:dyDescent="0.3">
      <c r="A18" s="3" t="s">
        <v>54</v>
      </c>
      <c r="B18" s="7">
        <v>-0.108</v>
      </c>
      <c r="C18" s="7">
        <v>-2E-3</v>
      </c>
      <c r="D18" s="7">
        <v>-0.16700000000000001</v>
      </c>
      <c r="E18" s="7">
        <v>1.2E-2</v>
      </c>
      <c r="F18" s="7">
        <v>8.2000000000000003E-2</v>
      </c>
      <c r="G18" s="7">
        <v>0.115</v>
      </c>
      <c r="H18" s="7">
        <v>0.108</v>
      </c>
      <c r="I18" s="7">
        <v>7.2999999999999995E-2</v>
      </c>
      <c r="J18" s="7">
        <v>0.125</v>
      </c>
      <c r="K18" s="7">
        <v>0.46100000000000002</v>
      </c>
      <c r="L18" s="7">
        <v>0.315</v>
      </c>
      <c r="M18" s="7">
        <v>0.16500000000000001</v>
      </c>
      <c r="N18" s="88">
        <f t="shared" si="0"/>
        <v>9.8250000000000004E-2</v>
      </c>
    </row>
    <row r="19" spans="1:14" ht="22.2" x14ac:dyDescent="0.3">
      <c r="A19" s="2" t="s">
        <v>55</v>
      </c>
      <c r="B19" s="6">
        <v>-0.108</v>
      </c>
      <c r="C19" s="6">
        <v>-2E-3</v>
      </c>
      <c r="D19" s="6">
        <v>-0.16700000000000001</v>
      </c>
      <c r="E19" s="6">
        <v>1.2E-2</v>
      </c>
      <c r="F19" s="6">
        <v>8.2000000000000003E-2</v>
      </c>
      <c r="G19" s="6">
        <v>0.115</v>
      </c>
      <c r="H19" s="6">
        <v>0.108</v>
      </c>
      <c r="I19" s="6">
        <v>7.2999999999999995E-2</v>
      </c>
      <c r="J19" s="6">
        <v>0.125</v>
      </c>
      <c r="K19" s="6">
        <v>0.46100000000000002</v>
      </c>
      <c r="L19" s="6">
        <v>0.315</v>
      </c>
      <c r="M19" s="6">
        <v>0.16500000000000001</v>
      </c>
      <c r="N19" s="88">
        <f t="shared" si="0"/>
        <v>9.8250000000000004E-2</v>
      </c>
    </row>
    <row r="20" spans="1:14" ht="22.2" x14ac:dyDescent="0.3">
      <c r="A20" s="17" t="s">
        <v>56</v>
      </c>
      <c r="B20" s="18">
        <v>-0.108</v>
      </c>
      <c r="C20" s="18">
        <v>-2E-3</v>
      </c>
      <c r="D20" s="18">
        <v>-0.16700000000000001</v>
      </c>
      <c r="E20" s="18">
        <v>1.2E-2</v>
      </c>
      <c r="F20" s="18">
        <v>8.2000000000000003E-2</v>
      </c>
      <c r="G20" s="18">
        <v>0.115</v>
      </c>
      <c r="H20" s="18">
        <v>0.108</v>
      </c>
      <c r="I20" s="18">
        <v>7.2999999999999995E-2</v>
      </c>
      <c r="J20" s="18">
        <v>0.125</v>
      </c>
      <c r="K20" s="18">
        <v>0.46100000000000002</v>
      </c>
      <c r="L20" s="18">
        <v>0.315</v>
      </c>
      <c r="M20" s="18">
        <v>0.16500000000000001</v>
      </c>
      <c r="N20" s="90">
        <f t="shared" si="0"/>
        <v>9.8250000000000004E-2</v>
      </c>
    </row>
  </sheetData>
  <conditionalFormatting sqref="B2:M20">
    <cfRule type="cellIs" dxfId="4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BAF67-F6A4-4DDC-983A-D9875BF63229}">
  <dimension ref="A1:N75"/>
  <sheetViews>
    <sheetView showGridLines="0" topLeftCell="A52" workbookViewId="0">
      <selection activeCell="M75" sqref="M75"/>
    </sheetView>
  </sheetViews>
  <sheetFormatPr baseColWidth="10" defaultRowHeight="14.4" x14ac:dyDescent="0.3"/>
  <cols>
    <col min="1" max="1" width="34.88671875" customWidth="1"/>
    <col min="14" max="14" width="14.5546875" customWidth="1"/>
  </cols>
  <sheetData>
    <row r="1" spans="1:14" x14ac:dyDescent="0.3">
      <c r="A1" s="11" t="s">
        <v>0</v>
      </c>
      <c r="B1" s="11">
        <v>2012</v>
      </c>
      <c r="C1" s="11">
        <v>2013</v>
      </c>
      <c r="D1" s="11">
        <v>2014</v>
      </c>
      <c r="E1" s="11">
        <v>2015</v>
      </c>
      <c r="F1" s="11">
        <v>2016</v>
      </c>
      <c r="G1" s="11">
        <v>2017</v>
      </c>
      <c r="H1" s="11">
        <v>2018</v>
      </c>
      <c r="I1" s="11">
        <v>2019</v>
      </c>
      <c r="J1" s="11">
        <v>2020</v>
      </c>
      <c r="K1" s="11">
        <v>2021</v>
      </c>
      <c r="L1" s="11">
        <v>2022</v>
      </c>
      <c r="M1" s="11">
        <v>2023</v>
      </c>
      <c r="N1" s="34" t="s">
        <v>1</v>
      </c>
    </row>
    <row r="2" spans="1:14" x14ac:dyDescent="0.3">
      <c r="A2" s="22" t="s">
        <v>57</v>
      </c>
      <c r="B2" s="13">
        <v>0</v>
      </c>
      <c r="C2" s="13">
        <v>0</v>
      </c>
      <c r="D2" s="13">
        <v>0</v>
      </c>
      <c r="E2" s="13">
        <v>0</v>
      </c>
      <c r="F2" s="13">
        <v>0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  <c r="L2" s="13">
        <v>0</v>
      </c>
      <c r="M2" s="13">
        <v>0</v>
      </c>
      <c r="N2" s="35">
        <f>+AVERAGE(B2:M2)</f>
        <v>0</v>
      </c>
    </row>
    <row r="3" spans="1:14" x14ac:dyDescent="0.3">
      <c r="A3" s="23" t="s">
        <v>58</v>
      </c>
      <c r="B3" s="19">
        <v>0</v>
      </c>
      <c r="C3" s="19">
        <v>0</v>
      </c>
      <c r="D3" s="19">
        <v>0</v>
      </c>
      <c r="E3" s="19">
        <v>0</v>
      </c>
      <c r="F3" s="19">
        <v>0</v>
      </c>
      <c r="G3" s="19">
        <v>0</v>
      </c>
      <c r="H3" s="19">
        <v>0</v>
      </c>
      <c r="I3" s="19">
        <v>0</v>
      </c>
      <c r="J3" s="19">
        <v>0</v>
      </c>
      <c r="K3" s="19">
        <v>0</v>
      </c>
      <c r="L3" s="19">
        <v>0</v>
      </c>
      <c r="M3" s="19">
        <v>0</v>
      </c>
      <c r="N3" s="35">
        <f t="shared" ref="N3:N66" si="0">+AVERAGE(B3:M3)</f>
        <v>0</v>
      </c>
    </row>
    <row r="4" spans="1:14" x14ac:dyDescent="0.3">
      <c r="A4" s="24" t="s">
        <v>59</v>
      </c>
      <c r="B4" s="6">
        <v>1651044</v>
      </c>
      <c r="C4" s="6">
        <v>1701344</v>
      </c>
      <c r="D4" s="6">
        <v>1597781</v>
      </c>
      <c r="E4" s="6">
        <v>1495724</v>
      </c>
      <c r="F4" s="6">
        <v>1496808</v>
      </c>
      <c r="G4" s="6">
        <v>1314534</v>
      </c>
      <c r="H4" s="6">
        <v>1557291</v>
      </c>
      <c r="I4" s="6">
        <v>1552782</v>
      </c>
      <c r="J4" s="6">
        <v>1408995</v>
      </c>
      <c r="K4" s="6">
        <v>2323516</v>
      </c>
      <c r="L4" s="6">
        <v>2670385</v>
      </c>
      <c r="M4" s="6">
        <v>2392200</v>
      </c>
      <c r="N4" s="35">
        <f t="shared" si="0"/>
        <v>1763533.6666666667</v>
      </c>
    </row>
    <row r="5" spans="1:14" x14ac:dyDescent="0.3">
      <c r="A5" s="25" t="s">
        <v>60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35">
        <f t="shared" si="0"/>
        <v>0</v>
      </c>
    </row>
    <row r="6" spans="1:14" x14ac:dyDescent="0.3">
      <c r="A6" s="26" t="s">
        <v>61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35">
        <f t="shared" si="0"/>
        <v>0</v>
      </c>
    </row>
    <row r="7" spans="1:14" x14ac:dyDescent="0.3">
      <c r="A7" s="25" t="s">
        <v>62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35">
        <f t="shared" si="0"/>
        <v>0</v>
      </c>
    </row>
    <row r="8" spans="1:14" x14ac:dyDescent="0.3">
      <c r="A8" s="24" t="s">
        <v>63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233997</v>
      </c>
      <c r="N8" s="35">
        <f t="shared" si="0"/>
        <v>19499.75</v>
      </c>
    </row>
    <row r="9" spans="1:14" ht="15" thickBot="1" x14ac:dyDescent="0.35">
      <c r="A9" s="27" t="s">
        <v>64</v>
      </c>
      <c r="B9" s="16">
        <v>0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35">
        <f t="shared" si="0"/>
        <v>0</v>
      </c>
    </row>
    <row r="10" spans="1:14" x14ac:dyDescent="0.3">
      <c r="A10" s="24" t="s">
        <v>65</v>
      </c>
      <c r="B10" s="28">
        <v>-1527327</v>
      </c>
      <c r="C10" s="6">
        <v>-1389848</v>
      </c>
      <c r="D10" s="6">
        <v>-1330604</v>
      </c>
      <c r="E10" s="6">
        <v>-1284329</v>
      </c>
      <c r="F10" s="6">
        <v>-1115132</v>
      </c>
      <c r="G10" s="6">
        <v>-971789</v>
      </c>
      <c r="H10" s="6">
        <v>-1068502</v>
      </c>
      <c r="I10" s="6">
        <v>-1193496</v>
      </c>
      <c r="J10" s="6">
        <v>-860033</v>
      </c>
      <c r="K10" s="6">
        <v>-1360437</v>
      </c>
      <c r="L10" s="6">
        <v>-2142246</v>
      </c>
      <c r="M10" s="6">
        <v>-2177062</v>
      </c>
      <c r="N10" s="35">
        <f t="shared" si="0"/>
        <v>-1368400.4166666667</v>
      </c>
    </row>
    <row r="11" spans="1:14" x14ac:dyDescent="0.3">
      <c r="A11" s="25" t="s">
        <v>61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35">
        <f t="shared" si="0"/>
        <v>0</v>
      </c>
    </row>
    <row r="12" spans="1:14" x14ac:dyDescent="0.3">
      <c r="A12" s="24" t="s">
        <v>66</v>
      </c>
      <c r="B12" s="6">
        <v>-82309</v>
      </c>
      <c r="C12" s="6">
        <v>-70625</v>
      </c>
      <c r="D12" s="6">
        <v>-70438</v>
      </c>
      <c r="E12" s="6">
        <v>-77807</v>
      </c>
      <c r="F12" s="6">
        <v>-69302</v>
      </c>
      <c r="G12" s="6">
        <v>-123698</v>
      </c>
      <c r="H12" s="6">
        <v>-131589</v>
      </c>
      <c r="I12" s="6">
        <v>-135633</v>
      </c>
      <c r="J12" s="6">
        <v>-121118</v>
      </c>
      <c r="K12" s="6">
        <v>-176834</v>
      </c>
      <c r="L12" s="6">
        <v>-163151</v>
      </c>
      <c r="M12" s="6">
        <v>-161793</v>
      </c>
      <c r="N12" s="35">
        <f t="shared" si="0"/>
        <v>-115358.08333333333</v>
      </c>
    </row>
    <row r="13" spans="1:14" x14ac:dyDescent="0.3">
      <c r="A13" s="25" t="s">
        <v>67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35">
        <f t="shared" si="0"/>
        <v>0</v>
      </c>
    </row>
    <row r="14" spans="1:14" x14ac:dyDescent="0.3">
      <c r="A14" s="24" t="s">
        <v>68</v>
      </c>
      <c r="B14" s="6">
        <v>-49717</v>
      </c>
      <c r="C14" s="6">
        <v>-69758</v>
      </c>
      <c r="D14" s="6">
        <v>5448</v>
      </c>
      <c r="E14" s="6">
        <v>0</v>
      </c>
      <c r="F14" s="6">
        <v>0</v>
      </c>
      <c r="G14" s="6">
        <v>0</v>
      </c>
      <c r="H14" s="6">
        <v>-13827</v>
      </c>
      <c r="I14" s="6">
        <v>-9691</v>
      </c>
      <c r="J14" s="6">
        <v>-55163</v>
      </c>
      <c r="K14" s="6">
        <v>-497808</v>
      </c>
      <c r="L14" s="6">
        <v>-222611</v>
      </c>
      <c r="M14" s="6">
        <v>0</v>
      </c>
      <c r="N14" s="35">
        <f t="shared" si="0"/>
        <v>-76093.916666666672</v>
      </c>
    </row>
    <row r="15" spans="1:14" x14ac:dyDescent="0.3">
      <c r="A15" s="29" t="s">
        <v>69</v>
      </c>
      <c r="B15" s="7">
        <v>-8309</v>
      </c>
      <c r="C15" s="7">
        <v>171113</v>
      </c>
      <c r="D15" s="7">
        <v>202187</v>
      </c>
      <c r="E15" s="7">
        <v>133588</v>
      </c>
      <c r="F15" s="7">
        <v>312374</v>
      </c>
      <c r="G15" s="7">
        <v>219047</v>
      </c>
      <c r="H15" s="7">
        <v>343373</v>
      </c>
      <c r="I15" s="7">
        <v>213962</v>
      </c>
      <c r="J15" s="7">
        <v>372681</v>
      </c>
      <c r="K15" s="7">
        <v>288437</v>
      </c>
      <c r="L15" s="7">
        <v>142377</v>
      </c>
      <c r="M15" s="7">
        <v>287342</v>
      </c>
      <c r="N15" s="35">
        <f t="shared" si="0"/>
        <v>223181</v>
      </c>
    </row>
    <row r="16" spans="1:14" x14ac:dyDescent="0.3">
      <c r="A16" s="26" t="s">
        <v>70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35">
        <f t="shared" si="0"/>
        <v>0</v>
      </c>
    </row>
    <row r="17" spans="1:14" x14ac:dyDescent="0.3">
      <c r="A17" s="29" t="s">
        <v>71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-2511</v>
      </c>
      <c r="K17" s="7">
        <v>-289</v>
      </c>
      <c r="L17" s="7">
        <v>-7812</v>
      </c>
      <c r="M17" s="7">
        <v>-27450</v>
      </c>
      <c r="N17" s="35">
        <f t="shared" si="0"/>
        <v>-3171.8333333333335</v>
      </c>
    </row>
    <row r="18" spans="1:14" x14ac:dyDescent="0.3">
      <c r="A18" s="26" t="s">
        <v>72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35">
        <f t="shared" si="0"/>
        <v>0</v>
      </c>
    </row>
    <row r="19" spans="1:14" x14ac:dyDescent="0.3">
      <c r="A19" s="25" t="s">
        <v>73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35">
        <f t="shared" si="0"/>
        <v>0</v>
      </c>
    </row>
    <row r="20" spans="1:14" x14ac:dyDescent="0.3">
      <c r="A20" s="24" t="s">
        <v>74</v>
      </c>
      <c r="B20" s="6">
        <v>0</v>
      </c>
      <c r="C20" s="6">
        <v>0</v>
      </c>
      <c r="D20" s="6">
        <v>0</v>
      </c>
      <c r="E20" s="6">
        <v>-6650</v>
      </c>
      <c r="F20" s="6">
        <v>-6314</v>
      </c>
      <c r="G20" s="6">
        <v>-5513</v>
      </c>
      <c r="H20" s="6">
        <v>-7015</v>
      </c>
      <c r="I20" s="6">
        <v>-44574</v>
      </c>
      <c r="J20" s="6">
        <v>-34326</v>
      </c>
      <c r="K20" s="6">
        <v>-96696</v>
      </c>
      <c r="L20" s="6">
        <v>-147883</v>
      </c>
      <c r="M20" s="6">
        <v>-60168</v>
      </c>
      <c r="N20" s="35">
        <f t="shared" si="0"/>
        <v>-34094.916666666664</v>
      </c>
    </row>
    <row r="21" spans="1:14" x14ac:dyDescent="0.3">
      <c r="A21" s="29" t="s">
        <v>75</v>
      </c>
      <c r="B21" s="7">
        <v>0</v>
      </c>
      <c r="C21" s="7">
        <v>0</v>
      </c>
      <c r="D21" s="7">
        <v>0</v>
      </c>
      <c r="E21" s="7">
        <v>-40728</v>
      </c>
      <c r="F21" s="7">
        <v>4359</v>
      </c>
      <c r="G21" s="7">
        <v>-30459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35">
        <f t="shared" si="0"/>
        <v>-5569</v>
      </c>
    </row>
    <row r="22" spans="1:14" ht="15" thickBot="1" x14ac:dyDescent="0.35">
      <c r="A22" s="30" t="s">
        <v>76</v>
      </c>
      <c r="B22" s="20">
        <v>-8309</v>
      </c>
      <c r="C22" s="20">
        <v>171113</v>
      </c>
      <c r="D22" s="20">
        <v>202187</v>
      </c>
      <c r="E22" s="20">
        <v>86210</v>
      </c>
      <c r="F22" s="20">
        <v>310419</v>
      </c>
      <c r="G22" s="20">
        <v>183075</v>
      </c>
      <c r="H22" s="20">
        <v>336358</v>
      </c>
      <c r="I22" s="20">
        <v>169388</v>
      </c>
      <c r="J22" s="20">
        <v>335844</v>
      </c>
      <c r="K22" s="20">
        <v>191452</v>
      </c>
      <c r="L22" s="20">
        <v>-13318</v>
      </c>
      <c r="M22" s="20">
        <v>199724</v>
      </c>
      <c r="N22" s="35">
        <f t="shared" si="0"/>
        <v>180345.25</v>
      </c>
    </row>
    <row r="23" spans="1:14" x14ac:dyDescent="0.3">
      <c r="A23" s="31" t="s">
        <v>77</v>
      </c>
      <c r="B23" s="19">
        <v>0</v>
      </c>
      <c r="C23" s="19">
        <v>0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35">
        <f t="shared" si="0"/>
        <v>0</v>
      </c>
    </row>
    <row r="24" spans="1:14" x14ac:dyDescent="0.3">
      <c r="A24" s="32" t="s">
        <v>78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35">
        <f t="shared" si="0"/>
        <v>0</v>
      </c>
    </row>
    <row r="25" spans="1:14" x14ac:dyDescent="0.3">
      <c r="A25" s="25" t="s">
        <v>79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35">
        <f t="shared" si="0"/>
        <v>0</v>
      </c>
    </row>
    <row r="26" spans="1:14" x14ac:dyDescent="0.3">
      <c r="A26" s="26" t="s">
        <v>80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35">
        <f t="shared" si="0"/>
        <v>0</v>
      </c>
    </row>
    <row r="27" spans="1:14" x14ac:dyDescent="0.3">
      <c r="A27" s="25" t="s">
        <v>81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35">
        <f t="shared" si="0"/>
        <v>0</v>
      </c>
    </row>
    <row r="28" spans="1:14" x14ac:dyDescent="0.3">
      <c r="A28" s="26" t="s">
        <v>82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35">
        <f t="shared" si="0"/>
        <v>0</v>
      </c>
    </row>
    <row r="29" spans="1:14" x14ac:dyDescent="0.3">
      <c r="A29" s="25" t="s">
        <v>83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35">
        <f t="shared" si="0"/>
        <v>0</v>
      </c>
    </row>
    <row r="30" spans="1:14" x14ac:dyDescent="0.3">
      <c r="A30" s="26" t="s">
        <v>84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35">
        <f t="shared" si="0"/>
        <v>0</v>
      </c>
    </row>
    <row r="31" spans="1:14" x14ac:dyDescent="0.3">
      <c r="A31" s="29" t="s">
        <v>85</v>
      </c>
      <c r="B31" s="7">
        <v>0</v>
      </c>
      <c r="C31" s="7">
        <v>4762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69</v>
      </c>
      <c r="J31" s="7">
        <v>34</v>
      </c>
      <c r="K31" s="7">
        <v>4786</v>
      </c>
      <c r="L31" s="7">
        <v>4419</v>
      </c>
      <c r="M31" s="7">
        <v>17984</v>
      </c>
      <c r="N31" s="35">
        <f t="shared" si="0"/>
        <v>2671.1666666666665</v>
      </c>
    </row>
    <row r="32" spans="1:14" x14ac:dyDescent="0.3">
      <c r="A32" s="26" t="s">
        <v>86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35">
        <f t="shared" si="0"/>
        <v>0</v>
      </c>
    </row>
    <row r="33" spans="1:14" x14ac:dyDescent="0.3">
      <c r="A33" s="25" t="s">
        <v>87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35">
        <f t="shared" si="0"/>
        <v>0</v>
      </c>
    </row>
    <row r="34" spans="1:14" x14ac:dyDescent="0.3">
      <c r="A34" s="26" t="s">
        <v>88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35">
        <f t="shared" si="0"/>
        <v>0</v>
      </c>
    </row>
    <row r="35" spans="1:14" x14ac:dyDescent="0.3">
      <c r="A35" s="29" t="s">
        <v>89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2139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35">
        <f t="shared" si="0"/>
        <v>178.25</v>
      </c>
    </row>
    <row r="36" spans="1:14" x14ac:dyDescent="0.3">
      <c r="A36" s="26" t="s">
        <v>90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35">
        <f t="shared" si="0"/>
        <v>0</v>
      </c>
    </row>
    <row r="37" spans="1:14" ht="15" thickBot="1" x14ac:dyDescent="0.35">
      <c r="A37" s="33" t="s">
        <v>91</v>
      </c>
      <c r="B37" s="16">
        <v>0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35">
        <f t="shared" si="0"/>
        <v>0</v>
      </c>
    </row>
    <row r="38" spans="1:14" x14ac:dyDescent="0.3">
      <c r="A38" s="26" t="s">
        <v>92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35">
        <f t="shared" si="0"/>
        <v>0</v>
      </c>
    </row>
    <row r="39" spans="1:14" x14ac:dyDescent="0.3">
      <c r="A39" s="25" t="s">
        <v>93</v>
      </c>
      <c r="B39" s="7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35">
        <f t="shared" si="0"/>
        <v>0</v>
      </c>
    </row>
    <row r="40" spans="1:14" x14ac:dyDescent="0.3">
      <c r="A40" s="26" t="s">
        <v>94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35">
        <f t="shared" si="0"/>
        <v>0</v>
      </c>
    </row>
    <row r="41" spans="1:14" x14ac:dyDescent="0.3">
      <c r="A41" s="25" t="s">
        <v>95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35">
        <f t="shared" si="0"/>
        <v>0</v>
      </c>
    </row>
    <row r="42" spans="1:14" x14ac:dyDescent="0.3">
      <c r="A42" s="26" t="s">
        <v>83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35">
        <f t="shared" si="0"/>
        <v>0</v>
      </c>
    </row>
    <row r="43" spans="1:14" x14ac:dyDescent="0.3">
      <c r="A43" s="25" t="s">
        <v>96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35">
        <f t="shared" si="0"/>
        <v>0</v>
      </c>
    </row>
    <row r="44" spans="1:14" x14ac:dyDescent="0.3">
      <c r="A44" s="26" t="s">
        <v>97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35">
        <f t="shared" si="0"/>
        <v>0</v>
      </c>
    </row>
    <row r="45" spans="1:14" x14ac:dyDescent="0.3">
      <c r="A45" s="29" t="s">
        <v>98</v>
      </c>
      <c r="B45" s="7">
        <v>-65983</v>
      </c>
      <c r="C45" s="7">
        <v>-25748</v>
      </c>
      <c r="D45" s="7">
        <v>-37886</v>
      </c>
      <c r="E45" s="7">
        <v>-27363</v>
      </c>
      <c r="F45" s="7">
        <v>-7948</v>
      </c>
      <c r="G45" s="7">
        <v>-8208</v>
      </c>
      <c r="H45" s="7">
        <v>-15194</v>
      </c>
      <c r="I45" s="7">
        <v>-25210</v>
      </c>
      <c r="J45" s="7">
        <v>-30326</v>
      </c>
      <c r="K45" s="7">
        <v>-50341</v>
      </c>
      <c r="L45" s="7">
        <v>-67957</v>
      </c>
      <c r="M45" s="7">
        <v>-78413</v>
      </c>
      <c r="N45" s="35">
        <f t="shared" si="0"/>
        <v>-36714.75</v>
      </c>
    </row>
    <row r="46" spans="1:14" x14ac:dyDescent="0.3">
      <c r="A46" s="26" t="s">
        <v>99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-1765</v>
      </c>
      <c r="N46" s="35">
        <f t="shared" si="0"/>
        <v>-147.08333333333334</v>
      </c>
    </row>
    <row r="47" spans="1:14" x14ac:dyDescent="0.3">
      <c r="A47" s="25" t="s">
        <v>100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35">
        <f t="shared" si="0"/>
        <v>0</v>
      </c>
    </row>
    <row r="48" spans="1:14" x14ac:dyDescent="0.3">
      <c r="A48" s="26" t="s">
        <v>74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35">
        <f t="shared" si="0"/>
        <v>0</v>
      </c>
    </row>
    <row r="49" spans="1:14" x14ac:dyDescent="0.3">
      <c r="A49" s="25" t="s">
        <v>101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6991</v>
      </c>
      <c r="I49" s="7">
        <v>12489</v>
      </c>
      <c r="J49" s="7">
        <v>4992</v>
      </c>
      <c r="K49" s="7">
        <v>852</v>
      </c>
      <c r="L49" s="7">
        <v>1734</v>
      </c>
      <c r="M49" s="7">
        <v>3143</v>
      </c>
      <c r="N49" s="35">
        <f t="shared" si="0"/>
        <v>2516.75</v>
      </c>
    </row>
    <row r="50" spans="1:14" ht="15" thickBot="1" x14ac:dyDescent="0.35">
      <c r="A50" s="30" t="s">
        <v>102</v>
      </c>
      <c r="B50" s="20">
        <v>-65983</v>
      </c>
      <c r="C50" s="20">
        <v>-20986</v>
      </c>
      <c r="D50" s="20">
        <v>-37886</v>
      </c>
      <c r="E50" s="20">
        <v>-27363</v>
      </c>
      <c r="F50" s="20">
        <v>-7948</v>
      </c>
      <c r="G50" s="20">
        <v>-6069</v>
      </c>
      <c r="H50" s="20">
        <v>-8203</v>
      </c>
      <c r="I50" s="20">
        <v>-12652</v>
      </c>
      <c r="J50" s="20">
        <v>-25300</v>
      </c>
      <c r="K50" s="20">
        <v>-44703</v>
      </c>
      <c r="L50" s="20">
        <v>-61804</v>
      </c>
      <c r="M50" s="20">
        <v>-59051</v>
      </c>
      <c r="N50" s="35">
        <f t="shared" si="0"/>
        <v>-31495.666666666668</v>
      </c>
    </row>
    <row r="51" spans="1:14" x14ac:dyDescent="0.3">
      <c r="A51" s="31" t="s">
        <v>103</v>
      </c>
      <c r="B51" s="19">
        <v>0</v>
      </c>
      <c r="C51" s="19">
        <v>0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35">
        <f t="shared" si="0"/>
        <v>0</v>
      </c>
    </row>
    <row r="52" spans="1:14" x14ac:dyDescent="0.3">
      <c r="A52" s="32" t="s">
        <v>104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35">
        <f t="shared" si="0"/>
        <v>0</v>
      </c>
    </row>
    <row r="53" spans="1:14" x14ac:dyDescent="0.3">
      <c r="A53" s="29" t="s">
        <v>105</v>
      </c>
      <c r="B53" s="7">
        <v>74701</v>
      </c>
      <c r="C53" s="7">
        <v>0</v>
      </c>
      <c r="D53" s="7">
        <v>78433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491558</v>
      </c>
      <c r="M53" s="7">
        <v>747855</v>
      </c>
      <c r="N53" s="35">
        <f t="shared" si="0"/>
        <v>116045.58333333333</v>
      </c>
    </row>
    <row r="54" spans="1:14" x14ac:dyDescent="0.3">
      <c r="A54" s="24" t="s">
        <v>106</v>
      </c>
      <c r="B54" s="6">
        <v>0</v>
      </c>
      <c r="C54" s="6">
        <v>0</v>
      </c>
      <c r="D54" s="6">
        <v>0</v>
      </c>
      <c r="E54" s="6">
        <v>0</v>
      </c>
      <c r="F54" s="6">
        <v>131680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35">
        <f t="shared" si="0"/>
        <v>10973.333333333334</v>
      </c>
    </row>
    <row r="55" spans="1:14" x14ac:dyDescent="0.3">
      <c r="A55" s="25" t="s">
        <v>107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35">
        <f t="shared" si="0"/>
        <v>0</v>
      </c>
    </row>
    <row r="56" spans="1:14" x14ac:dyDescent="0.3">
      <c r="A56" s="24" t="s">
        <v>108</v>
      </c>
      <c r="B56" s="6">
        <v>0</v>
      </c>
      <c r="C56" s="6">
        <v>310201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35">
        <f t="shared" si="0"/>
        <v>25850.083333333332</v>
      </c>
    </row>
    <row r="57" spans="1:14" x14ac:dyDescent="0.3">
      <c r="A57" s="29" t="s">
        <v>109</v>
      </c>
      <c r="B57" s="7">
        <v>0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35">
        <f t="shared" si="0"/>
        <v>0</v>
      </c>
    </row>
    <row r="58" spans="1:14" x14ac:dyDescent="0.3">
      <c r="A58" s="24" t="s">
        <v>88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35">
        <f t="shared" si="0"/>
        <v>0</v>
      </c>
    </row>
    <row r="59" spans="1:14" ht="15" thickBot="1" x14ac:dyDescent="0.35">
      <c r="A59" s="27" t="s">
        <v>110</v>
      </c>
      <c r="B59" s="16">
        <v>0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35">
        <f t="shared" si="0"/>
        <v>0</v>
      </c>
    </row>
    <row r="60" spans="1:14" x14ac:dyDescent="0.3">
      <c r="A60" s="24" t="s">
        <v>111</v>
      </c>
      <c r="B60" s="6">
        <v>0</v>
      </c>
      <c r="C60" s="6">
        <v>-412378</v>
      </c>
      <c r="D60" s="6">
        <v>-167191</v>
      </c>
      <c r="E60" s="6">
        <v>-80941</v>
      </c>
      <c r="F60" s="6">
        <v>-360439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-281558</v>
      </c>
      <c r="M60" s="6">
        <v>-797855</v>
      </c>
      <c r="N60" s="35">
        <f t="shared" si="0"/>
        <v>-175030.16666666666</v>
      </c>
    </row>
    <row r="61" spans="1:14" x14ac:dyDescent="0.3">
      <c r="A61" s="29" t="s">
        <v>112</v>
      </c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-3153</v>
      </c>
      <c r="J61" s="7">
        <v>-5820</v>
      </c>
      <c r="K61" s="7">
        <v>-3725</v>
      </c>
      <c r="L61" s="7">
        <v>-4205</v>
      </c>
      <c r="M61" s="7">
        <v>-6748</v>
      </c>
      <c r="N61" s="35">
        <f t="shared" si="0"/>
        <v>-1970.9166666666667</v>
      </c>
    </row>
    <row r="62" spans="1:14" x14ac:dyDescent="0.3">
      <c r="A62" s="24" t="s">
        <v>106</v>
      </c>
      <c r="B62" s="6">
        <v>0</v>
      </c>
      <c r="C62" s="6">
        <v>0</v>
      </c>
      <c r="D62" s="6">
        <v>0</v>
      </c>
      <c r="E62" s="6">
        <v>0</v>
      </c>
      <c r="F62" s="6">
        <v>-135434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35">
        <f t="shared" si="0"/>
        <v>-11286.166666666666</v>
      </c>
    </row>
    <row r="63" spans="1:14" x14ac:dyDescent="0.3">
      <c r="A63" s="25" t="s">
        <v>107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35">
        <f t="shared" si="0"/>
        <v>0</v>
      </c>
    </row>
    <row r="64" spans="1:14" x14ac:dyDescent="0.3">
      <c r="A64" s="26" t="s">
        <v>113</v>
      </c>
      <c r="B64" s="6">
        <v>0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35">
        <f t="shared" si="0"/>
        <v>0</v>
      </c>
    </row>
    <row r="65" spans="1:14" x14ac:dyDescent="0.3">
      <c r="A65" s="25" t="s">
        <v>114</v>
      </c>
      <c r="B65" s="7">
        <v>0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35">
        <f t="shared" si="0"/>
        <v>0</v>
      </c>
    </row>
    <row r="66" spans="1:14" x14ac:dyDescent="0.3">
      <c r="A66" s="24" t="s">
        <v>115</v>
      </c>
      <c r="B66" s="6">
        <v>0</v>
      </c>
      <c r="C66" s="6">
        <v>0</v>
      </c>
      <c r="D66" s="6">
        <v>0</v>
      </c>
      <c r="E66" s="6">
        <v>-7984</v>
      </c>
      <c r="F66" s="6">
        <v>-2705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35">
        <f t="shared" si="0"/>
        <v>-890.75</v>
      </c>
    </row>
    <row r="67" spans="1:14" x14ac:dyDescent="0.3">
      <c r="A67" s="29" t="s">
        <v>116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-125345</v>
      </c>
      <c r="J67" s="7">
        <v>-80090</v>
      </c>
      <c r="K67" s="7">
        <v>-160637</v>
      </c>
      <c r="L67" s="7">
        <v>-308807</v>
      </c>
      <c r="M67" s="7">
        <v>-78510</v>
      </c>
      <c r="N67" s="35">
        <f t="shared" ref="N67:N75" si="1">+AVERAGE(B67:M67)</f>
        <v>-62782.416666666664</v>
      </c>
    </row>
    <row r="68" spans="1:14" x14ac:dyDescent="0.3">
      <c r="A68" s="26" t="s">
        <v>74</v>
      </c>
      <c r="B68" s="6">
        <v>0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35">
        <f t="shared" si="1"/>
        <v>0</v>
      </c>
    </row>
    <row r="69" spans="1:14" x14ac:dyDescent="0.3">
      <c r="A69" s="29" t="s">
        <v>117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-339509</v>
      </c>
      <c r="K69" s="7">
        <v>-187488</v>
      </c>
      <c r="L69" s="7">
        <v>-256</v>
      </c>
      <c r="M69" s="7">
        <v>-109</v>
      </c>
      <c r="N69" s="35">
        <f t="shared" si="1"/>
        <v>-43946.833333333336</v>
      </c>
    </row>
    <row r="70" spans="1:14" ht="15" thickBot="1" x14ac:dyDescent="0.35">
      <c r="A70" s="30" t="s">
        <v>118</v>
      </c>
      <c r="B70" s="20">
        <v>74701</v>
      </c>
      <c r="C70" s="20">
        <v>-102177</v>
      </c>
      <c r="D70" s="20">
        <v>-88758</v>
      </c>
      <c r="E70" s="20">
        <v>-88925</v>
      </c>
      <c r="F70" s="20">
        <v>-366898</v>
      </c>
      <c r="G70" s="20">
        <v>0</v>
      </c>
      <c r="H70" s="20">
        <v>0</v>
      </c>
      <c r="I70" s="20">
        <v>-128498</v>
      </c>
      <c r="J70" s="20">
        <v>-425419</v>
      </c>
      <c r="K70" s="20">
        <v>-351850</v>
      </c>
      <c r="L70" s="20">
        <v>-103268</v>
      </c>
      <c r="M70" s="20">
        <v>-135367</v>
      </c>
      <c r="N70" s="35">
        <f t="shared" si="1"/>
        <v>-143038.25</v>
      </c>
    </row>
    <row r="71" spans="1:14" x14ac:dyDescent="0.3">
      <c r="A71" s="29" t="s">
        <v>119</v>
      </c>
      <c r="B71" s="7">
        <v>409</v>
      </c>
      <c r="C71" s="7">
        <v>47950</v>
      </c>
      <c r="D71" s="7">
        <v>75543</v>
      </c>
      <c r="E71" s="7">
        <v>-30078</v>
      </c>
      <c r="F71" s="7">
        <v>-64427</v>
      </c>
      <c r="G71" s="7">
        <v>177006</v>
      </c>
      <c r="H71" s="7">
        <v>328155</v>
      </c>
      <c r="I71" s="7">
        <v>28238</v>
      </c>
      <c r="J71" s="7">
        <v>-114875</v>
      </c>
      <c r="K71" s="7">
        <v>-205101</v>
      </c>
      <c r="L71" s="7">
        <v>-178390</v>
      </c>
      <c r="M71" s="7">
        <v>5306</v>
      </c>
      <c r="N71" s="35">
        <f t="shared" si="1"/>
        <v>5811.333333333333</v>
      </c>
    </row>
    <row r="72" spans="1:14" x14ac:dyDescent="0.3">
      <c r="A72" s="24" t="s">
        <v>120</v>
      </c>
      <c r="B72" s="6">
        <v>0</v>
      </c>
      <c r="C72" s="6">
        <v>0</v>
      </c>
      <c r="D72" s="6">
        <v>0</v>
      </c>
      <c r="E72" s="6">
        <v>0</v>
      </c>
      <c r="F72" s="6">
        <v>1080</v>
      </c>
      <c r="G72" s="6">
        <v>-3824</v>
      </c>
      <c r="H72" s="6">
        <v>4669</v>
      </c>
      <c r="I72" s="6">
        <v>-8653</v>
      </c>
      <c r="J72" s="6">
        <v>12029</v>
      </c>
      <c r="K72" s="6">
        <v>-37004</v>
      </c>
      <c r="L72" s="6">
        <v>995</v>
      </c>
      <c r="M72" s="6">
        <v>6705</v>
      </c>
      <c r="N72" s="35">
        <f t="shared" si="1"/>
        <v>-2000.25</v>
      </c>
    </row>
    <row r="73" spans="1:14" x14ac:dyDescent="0.3">
      <c r="A73" s="29" t="s">
        <v>121</v>
      </c>
      <c r="B73" s="7">
        <v>409</v>
      </c>
      <c r="C73" s="7">
        <v>47950</v>
      </c>
      <c r="D73" s="7">
        <v>75543</v>
      </c>
      <c r="E73" s="7">
        <v>-30078</v>
      </c>
      <c r="F73" s="7">
        <v>-63347</v>
      </c>
      <c r="G73" s="7">
        <v>173182</v>
      </c>
      <c r="H73" s="7">
        <v>332824</v>
      </c>
      <c r="I73" s="7">
        <v>19585</v>
      </c>
      <c r="J73" s="7">
        <v>-102846</v>
      </c>
      <c r="K73" s="7">
        <v>-242105</v>
      </c>
      <c r="L73" s="7">
        <v>-177395</v>
      </c>
      <c r="M73" s="7">
        <v>12011</v>
      </c>
      <c r="N73" s="35">
        <f t="shared" si="1"/>
        <v>3811.0833333333335</v>
      </c>
    </row>
    <row r="74" spans="1:14" x14ac:dyDescent="0.3">
      <c r="A74" s="24" t="s">
        <v>122</v>
      </c>
      <c r="B74" s="6">
        <v>23861</v>
      </c>
      <c r="C74" s="6">
        <v>24270</v>
      </c>
      <c r="D74" s="6">
        <v>72220</v>
      </c>
      <c r="E74" s="6">
        <v>147763</v>
      </c>
      <c r="F74" s="6">
        <v>117685</v>
      </c>
      <c r="G74" s="6">
        <v>54338</v>
      </c>
      <c r="H74" s="6">
        <v>227520</v>
      </c>
      <c r="I74" s="6">
        <v>560344</v>
      </c>
      <c r="J74" s="6">
        <v>579929</v>
      </c>
      <c r="K74" s="6">
        <v>477083</v>
      </c>
      <c r="L74" s="6">
        <v>234978</v>
      </c>
      <c r="M74" s="6">
        <v>57583</v>
      </c>
      <c r="N74" s="35">
        <f t="shared" si="1"/>
        <v>214797.83333333334</v>
      </c>
    </row>
    <row r="75" spans="1:14" ht="15" thickBot="1" x14ac:dyDescent="0.35">
      <c r="A75" s="27" t="s">
        <v>123</v>
      </c>
      <c r="B75" s="21">
        <v>24270</v>
      </c>
      <c r="C75" s="21">
        <v>72220</v>
      </c>
      <c r="D75" s="21">
        <v>147763</v>
      </c>
      <c r="E75" s="21">
        <v>117685</v>
      </c>
      <c r="F75" s="21">
        <v>54338</v>
      </c>
      <c r="G75" s="21">
        <v>227520</v>
      </c>
      <c r="H75" s="21">
        <v>560344</v>
      </c>
      <c r="I75" s="21">
        <v>579929</v>
      </c>
      <c r="J75" s="21">
        <v>477083</v>
      </c>
      <c r="K75" s="21">
        <v>234978</v>
      </c>
      <c r="L75" s="21">
        <v>57583</v>
      </c>
      <c r="M75" s="21">
        <v>69594</v>
      </c>
      <c r="N75" s="35">
        <f t="shared" si="1"/>
        <v>218608.91666666666</v>
      </c>
    </row>
  </sheetData>
  <conditionalFormatting sqref="B2:M75">
    <cfRule type="cellIs" dxfId="3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AD471-7417-4F07-87D6-6992D9135B0C}">
  <dimension ref="B2:H80"/>
  <sheetViews>
    <sheetView showGridLines="0" topLeftCell="A39" zoomScaleNormal="100" workbookViewId="0">
      <selection activeCell="D58" sqref="D58"/>
    </sheetView>
  </sheetViews>
  <sheetFormatPr baseColWidth="10" defaultRowHeight="14.4" x14ac:dyDescent="0.3"/>
  <cols>
    <col min="1" max="1" width="2.77734375" customWidth="1"/>
    <col min="2" max="2" width="42.77734375" customWidth="1"/>
    <col min="3" max="3" width="13.6640625" customWidth="1"/>
    <col min="4" max="4" width="15.6640625" customWidth="1"/>
    <col min="5" max="5" width="14.77734375" customWidth="1"/>
    <col min="6" max="6" width="11.21875" customWidth="1"/>
    <col min="7" max="7" width="15" bestFit="1" customWidth="1"/>
    <col min="10" max="10" width="27" customWidth="1"/>
    <col min="11" max="15" width="14.77734375" customWidth="1"/>
  </cols>
  <sheetData>
    <row r="2" spans="3:8" x14ac:dyDescent="0.3">
      <c r="C2" t="s">
        <v>246</v>
      </c>
    </row>
    <row r="3" spans="3:8" x14ac:dyDescent="0.3">
      <c r="C3" t="s">
        <v>247</v>
      </c>
    </row>
    <row r="4" spans="3:8" x14ac:dyDescent="0.3">
      <c r="C4" t="s">
        <v>255</v>
      </c>
    </row>
    <row r="6" spans="3:8" ht="24" x14ac:dyDescent="0.3">
      <c r="C6" s="41" t="s">
        <v>0</v>
      </c>
      <c r="D6" s="84" t="s">
        <v>38</v>
      </c>
      <c r="E6" s="84" t="s">
        <v>2</v>
      </c>
      <c r="F6" s="42" t="s">
        <v>124</v>
      </c>
      <c r="G6" s="42" t="s">
        <v>7</v>
      </c>
      <c r="H6" s="42" t="s">
        <v>125</v>
      </c>
    </row>
    <row r="7" spans="3:8" x14ac:dyDescent="0.3">
      <c r="C7" s="11">
        <v>2012</v>
      </c>
      <c r="D7" s="13">
        <v>1681492</v>
      </c>
      <c r="E7" s="6">
        <v>24270</v>
      </c>
      <c r="F7" s="6">
        <v>0</v>
      </c>
      <c r="G7" s="6">
        <v>625167</v>
      </c>
      <c r="H7" s="6">
        <v>202058</v>
      </c>
    </row>
    <row r="8" spans="3:8" x14ac:dyDescent="0.3">
      <c r="C8" s="11">
        <v>2013</v>
      </c>
      <c r="D8" s="13">
        <v>1738496</v>
      </c>
      <c r="E8" s="6">
        <v>72220</v>
      </c>
      <c r="F8" s="6">
        <v>0</v>
      </c>
      <c r="G8" s="6">
        <v>604797</v>
      </c>
      <c r="H8" s="6">
        <v>421256</v>
      </c>
    </row>
    <row r="9" spans="3:8" x14ac:dyDescent="0.3">
      <c r="C9" s="11">
        <v>2014</v>
      </c>
      <c r="D9" s="13">
        <v>1607544</v>
      </c>
      <c r="E9" s="6">
        <v>147763</v>
      </c>
      <c r="F9" s="6">
        <v>124226</v>
      </c>
      <c r="G9" s="6">
        <v>431449</v>
      </c>
      <c r="H9" s="6">
        <v>349508</v>
      </c>
    </row>
    <row r="10" spans="3:8" x14ac:dyDescent="0.3">
      <c r="C10" s="11">
        <v>2015</v>
      </c>
      <c r="D10" s="13">
        <v>1486080</v>
      </c>
      <c r="E10" s="6">
        <v>117685</v>
      </c>
      <c r="F10" s="6">
        <v>106194</v>
      </c>
      <c r="G10" s="6">
        <v>383387</v>
      </c>
      <c r="H10" s="6">
        <v>270100</v>
      </c>
    </row>
    <row r="11" spans="3:8" x14ac:dyDescent="0.3">
      <c r="C11" s="11">
        <v>2016</v>
      </c>
      <c r="D11" s="13">
        <v>1437931</v>
      </c>
      <c r="E11" s="6">
        <v>54338</v>
      </c>
      <c r="F11" s="6">
        <v>104380</v>
      </c>
      <c r="G11" s="6">
        <v>377821</v>
      </c>
      <c r="H11" s="6">
        <v>412236</v>
      </c>
    </row>
    <row r="12" spans="3:8" x14ac:dyDescent="0.3">
      <c r="C12" s="11">
        <v>2017</v>
      </c>
      <c r="D12" s="13">
        <v>1323554</v>
      </c>
      <c r="E12" s="6">
        <v>227520</v>
      </c>
      <c r="F12" s="6">
        <v>47192</v>
      </c>
      <c r="G12" s="6">
        <v>417819</v>
      </c>
      <c r="H12" s="6">
        <v>570290</v>
      </c>
    </row>
    <row r="13" spans="3:8" x14ac:dyDescent="0.3">
      <c r="C13" s="11">
        <v>2018</v>
      </c>
      <c r="D13" s="13">
        <v>1580684</v>
      </c>
      <c r="E13" s="6">
        <v>560344</v>
      </c>
      <c r="F13" s="6">
        <v>1824</v>
      </c>
      <c r="G13" s="6">
        <v>405120</v>
      </c>
      <c r="H13" s="6">
        <v>727030</v>
      </c>
    </row>
    <row r="14" spans="3:8" x14ac:dyDescent="0.3">
      <c r="C14" s="11">
        <v>2019</v>
      </c>
      <c r="D14" s="13">
        <v>1578074</v>
      </c>
      <c r="E14" s="6">
        <v>579929</v>
      </c>
      <c r="F14" s="6">
        <v>1824</v>
      </c>
      <c r="G14" s="6">
        <v>419048</v>
      </c>
      <c r="H14" s="6">
        <v>776808</v>
      </c>
    </row>
    <row r="15" spans="3:8" x14ac:dyDescent="0.3">
      <c r="C15" s="11">
        <v>2020</v>
      </c>
      <c r="D15" s="13">
        <v>1368465</v>
      </c>
      <c r="E15" s="6">
        <v>477083</v>
      </c>
      <c r="F15" s="6">
        <v>148262</v>
      </c>
      <c r="G15" s="6">
        <v>315056</v>
      </c>
      <c r="H15" s="6">
        <v>817476</v>
      </c>
    </row>
    <row r="16" spans="3:8" x14ac:dyDescent="0.3">
      <c r="C16" s="11">
        <v>2021</v>
      </c>
      <c r="D16" s="13">
        <v>2439612</v>
      </c>
      <c r="E16" s="6">
        <v>234978</v>
      </c>
      <c r="F16" s="6">
        <v>148262</v>
      </c>
      <c r="G16" s="6">
        <v>966521</v>
      </c>
      <c r="H16" s="6">
        <v>1943568</v>
      </c>
    </row>
    <row r="17" spans="3:8" x14ac:dyDescent="0.3">
      <c r="C17" s="11">
        <v>2022</v>
      </c>
      <c r="D17" s="13">
        <v>2743235</v>
      </c>
      <c r="E17" s="6">
        <v>57583</v>
      </c>
      <c r="F17" s="6">
        <v>148262</v>
      </c>
      <c r="G17" s="6">
        <v>1184636</v>
      </c>
      <c r="H17" s="6">
        <v>1983684</v>
      </c>
    </row>
    <row r="18" spans="3:8" x14ac:dyDescent="0.3">
      <c r="C18" s="11">
        <v>2023</v>
      </c>
      <c r="D18" s="13">
        <v>2384796</v>
      </c>
      <c r="E18" s="6">
        <v>69594</v>
      </c>
      <c r="F18" s="6">
        <v>1824</v>
      </c>
      <c r="G18" s="6">
        <v>692069</v>
      </c>
      <c r="H18" s="6">
        <v>1008688</v>
      </c>
    </row>
    <row r="19" spans="3:8" x14ac:dyDescent="0.3">
      <c r="C19" s="38" t="s">
        <v>126</v>
      </c>
      <c r="D19" s="39">
        <v>2500000</v>
      </c>
      <c r="E19" s="40">
        <f>+E37*$D$19</f>
        <v>106478.7417232485</v>
      </c>
      <c r="F19" s="49">
        <f>+F18</f>
        <v>1824</v>
      </c>
      <c r="G19" s="40">
        <f>+G37*$D$19</f>
        <v>949528.21695905935</v>
      </c>
      <c r="H19" s="49">
        <v>600000</v>
      </c>
    </row>
    <row r="21" spans="3:8" x14ac:dyDescent="0.3">
      <c r="C21" t="s">
        <v>248</v>
      </c>
    </row>
    <row r="22" spans="3:8" x14ac:dyDescent="0.3">
      <c r="C22" t="s">
        <v>256</v>
      </c>
    </row>
    <row r="24" spans="3:8" ht="24" x14ac:dyDescent="0.3">
      <c r="C24" s="41" t="s">
        <v>0</v>
      </c>
      <c r="D24" s="84" t="s">
        <v>38</v>
      </c>
      <c r="E24" s="84" t="s">
        <v>2</v>
      </c>
      <c r="F24" s="42" t="s">
        <v>124</v>
      </c>
      <c r="G24" s="42" t="s">
        <v>7</v>
      </c>
      <c r="H24" s="42" t="s">
        <v>125</v>
      </c>
    </row>
    <row r="25" spans="3:8" x14ac:dyDescent="0.3">
      <c r="C25" s="11">
        <v>2012</v>
      </c>
      <c r="D25" s="13">
        <v>1681492</v>
      </c>
      <c r="E25" s="37">
        <f t="shared" ref="E25:H36" si="0">+E7/$D7</f>
        <v>1.4433610150984958E-2</v>
      </c>
      <c r="F25" s="37">
        <f t="shared" si="0"/>
        <v>0</v>
      </c>
      <c r="G25" s="37">
        <f t="shared" si="0"/>
        <v>0.37179302666917236</v>
      </c>
      <c r="H25" s="37">
        <f t="shared" si="0"/>
        <v>0.12016590028379558</v>
      </c>
    </row>
    <row r="26" spans="3:8" x14ac:dyDescent="0.3">
      <c r="C26" s="11">
        <v>2013</v>
      </c>
      <c r="D26" s="13">
        <v>1738496</v>
      </c>
      <c r="E26" s="37">
        <f t="shared" si="0"/>
        <v>4.1541654395523486E-2</v>
      </c>
      <c r="F26" s="37">
        <f t="shared" si="0"/>
        <v>0</v>
      </c>
      <c r="G26" s="37">
        <f t="shared" si="0"/>
        <v>0.34788518351494624</v>
      </c>
      <c r="H26" s="37">
        <f t="shared" si="0"/>
        <v>0.24231059490502135</v>
      </c>
    </row>
    <row r="27" spans="3:8" x14ac:dyDescent="0.3">
      <c r="C27" s="11">
        <v>2014</v>
      </c>
      <c r="D27" s="13">
        <v>1607544</v>
      </c>
      <c r="E27" s="37">
        <f t="shared" si="0"/>
        <v>9.191847936977153E-2</v>
      </c>
      <c r="F27" s="37">
        <f t="shared" si="0"/>
        <v>7.7276889466167023E-2</v>
      </c>
      <c r="G27" s="37">
        <f t="shared" si="0"/>
        <v>0.26839016537027915</v>
      </c>
      <c r="H27" s="37">
        <f t="shared" si="0"/>
        <v>0.21741737706712849</v>
      </c>
    </row>
    <row r="28" spans="3:8" x14ac:dyDescent="0.3">
      <c r="C28" s="11">
        <v>2015</v>
      </c>
      <c r="D28" s="13">
        <v>1486080</v>
      </c>
      <c r="E28" s="37">
        <f t="shared" si="0"/>
        <v>7.9191564384151591E-2</v>
      </c>
      <c r="F28" s="37">
        <f t="shared" si="0"/>
        <v>7.145914082687338E-2</v>
      </c>
      <c r="G28" s="37">
        <f t="shared" si="0"/>
        <v>0.25798543819982772</v>
      </c>
      <c r="H28" s="37">
        <f t="shared" si="0"/>
        <v>0.18175333763996554</v>
      </c>
    </row>
    <row r="29" spans="3:8" x14ac:dyDescent="0.3">
      <c r="C29" s="11">
        <v>2016</v>
      </c>
      <c r="D29" s="13">
        <v>1437931</v>
      </c>
      <c r="E29" s="37">
        <f t="shared" si="0"/>
        <v>3.7789017692782201E-2</v>
      </c>
      <c r="F29" s="37">
        <f t="shared" si="0"/>
        <v>7.259040941463811E-2</v>
      </c>
      <c r="G29" s="37">
        <f t="shared" si="0"/>
        <v>0.26275321973029303</v>
      </c>
      <c r="H29" s="37">
        <f t="shared" si="0"/>
        <v>0.28668691334980606</v>
      </c>
    </row>
    <row r="30" spans="3:8" x14ac:dyDescent="0.3">
      <c r="C30" s="11">
        <v>2017</v>
      </c>
      <c r="D30" s="13">
        <v>1323554</v>
      </c>
      <c r="E30" s="37">
        <f t="shared" si="0"/>
        <v>0.17190080646501768</v>
      </c>
      <c r="F30" s="37">
        <f t="shared" si="0"/>
        <v>3.5655515377536542E-2</v>
      </c>
      <c r="G30" s="37">
        <f t="shared" si="0"/>
        <v>0.31567960204117096</v>
      </c>
      <c r="H30" s="37">
        <f t="shared" si="0"/>
        <v>0.43087777302626112</v>
      </c>
    </row>
    <row r="31" spans="3:8" x14ac:dyDescent="0.3">
      <c r="C31" s="11">
        <v>2018</v>
      </c>
      <c r="D31" s="13">
        <v>1580684</v>
      </c>
      <c r="E31" s="37">
        <f t="shared" si="0"/>
        <v>0.35449463649913582</v>
      </c>
      <c r="F31" s="37">
        <f t="shared" si="0"/>
        <v>1.1539308299445051E-3</v>
      </c>
      <c r="G31" s="37">
        <f t="shared" si="0"/>
        <v>0.25629411065083219</v>
      </c>
      <c r="H31" s="37">
        <f t="shared" si="0"/>
        <v>0.45994645356061048</v>
      </c>
    </row>
    <row r="32" spans="3:8" x14ac:dyDescent="0.3">
      <c r="C32" s="11">
        <v>2019</v>
      </c>
      <c r="D32" s="13">
        <v>1578074</v>
      </c>
      <c r="E32" s="37">
        <f t="shared" si="0"/>
        <v>0.36749163854166533</v>
      </c>
      <c r="F32" s="37">
        <f t="shared" si="0"/>
        <v>1.1558393332632057E-3</v>
      </c>
      <c r="G32" s="37">
        <f t="shared" si="0"/>
        <v>0.26554394787570162</v>
      </c>
      <c r="H32" s="37">
        <f t="shared" si="0"/>
        <v>0.49225068025960761</v>
      </c>
    </row>
    <row r="33" spans="2:8" x14ac:dyDescent="0.3">
      <c r="C33" s="11">
        <v>2020</v>
      </c>
      <c r="D33" s="13">
        <v>1368465</v>
      </c>
      <c r="E33" s="37">
        <f t="shared" si="0"/>
        <v>0.34862638065277518</v>
      </c>
      <c r="F33" s="37">
        <f t="shared" si="0"/>
        <v>0.10834182825282342</v>
      </c>
      <c r="G33" s="37">
        <f t="shared" si="0"/>
        <v>0.23022583697792781</v>
      </c>
      <c r="H33" s="37">
        <f t="shared" si="0"/>
        <v>0.59736712301739536</v>
      </c>
    </row>
    <row r="34" spans="2:8" x14ac:dyDescent="0.3">
      <c r="C34" s="11">
        <v>2021</v>
      </c>
      <c r="D34" s="13">
        <v>2439612</v>
      </c>
      <c r="E34" s="37">
        <f t="shared" si="0"/>
        <v>9.6317775121617696E-2</v>
      </c>
      <c r="F34" s="37">
        <f t="shared" si="0"/>
        <v>6.0772778622174346E-2</v>
      </c>
      <c r="G34" s="37">
        <f t="shared" si="0"/>
        <v>0.39617816275702855</v>
      </c>
      <c r="H34" s="37">
        <f t="shared" si="0"/>
        <v>0.79667094603568112</v>
      </c>
    </row>
    <row r="35" spans="2:8" x14ac:dyDescent="0.3">
      <c r="C35" s="11">
        <v>2022</v>
      </c>
      <c r="D35" s="13">
        <v>2743235</v>
      </c>
      <c r="E35" s="37">
        <f t="shared" si="0"/>
        <v>2.0990910366774994E-2</v>
      </c>
      <c r="F35" s="37">
        <f t="shared" si="0"/>
        <v>5.4046408710883322E-2</v>
      </c>
      <c r="G35" s="37">
        <f t="shared" si="0"/>
        <v>0.43183905133902128</v>
      </c>
      <c r="H35" s="37">
        <f t="shared" si="0"/>
        <v>0.72311850789305332</v>
      </c>
    </row>
    <row r="36" spans="2:8" x14ac:dyDescent="0.3">
      <c r="C36" s="11">
        <v>2023</v>
      </c>
      <c r="D36" s="13">
        <v>2384796</v>
      </c>
      <c r="E36" s="37">
        <f t="shared" si="0"/>
        <v>2.9182370315951552E-2</v>
      </c>
      <c r="F36" s="37">
        <f t="shared" si="0"/>
        <v>7.6484529494346689E-4</v>
      </c>
      <c r="G36" s="37">
        <f t="shared" si="0"/>
        <v>0.29020050352315252</v>
      </c>
      <c r="H36" s="37">
        <f t="shared" si="0"/>
        <v>0.42296615727299108</v>
      </c>
    </row>
    <row r="37" spans="2:8" x14ac:dyDescent="0.3">
      <c r="C37" s="38" t="s">
        <v>126</v>
      </c>
      <c r="D37" s="39">
        <v>2500000</v>
      </c>
      <c r="E37" s="85">
        <f>+_xlfn.FORECAST.LINEAR($D$37,E25:E36,$D$25:$D$36)</f>
        <v>4.2591496689299402E-2</v>
      </c>
      <c r="F37" s="86">
        <f>+F19/D19</f>
        <v>7.2959999999999995E-4</v>
      </c>
      <c r="G37" s="85">
        <f>+_xlfn.FORECAST.LINEAR($D$37,G25:G36,$D$25:$D$36)</f>
        <v>0.37981128678362375</v>
      </c>
      <c r="H37" s="86">
        <f>+H19/D19</f>
        <v>0.24</v>
      </c>
    </row>
    <row r="38" spans="2:8" x14ac:dyDescent="0.3">
      <c r="C38" s="87" t="s">
        <v>249</v>
      </c>
    </row>
    <row r="39" spans="2:8" x14ac:dyDescent="0.3">
      <c r="C39" s="87" t="s">
        <v>257</v>
      </c>
    </row>
    <row r="41" spans="2:8" x14ac:dyDescent="0.3">
      <c r="B41" t="s">
        <v>250</v>
      </c>
    </row>
    <row r="42" spans="2:8" x14ac:dyDescent="0.3">
      <c r="B42" t="s">
        <v>258</v>
      </c>
    </row>
    <row r="44" spans="2:8" ht="15.6" x14ac:dyDescent="0.3">
      <c r="B44" s="5" t="s">
        <v>0</v>
      </c>
      <c r="C44" s="5">
        <v>2023</v>
      </c>
      <c r="D44" s="5" t="s">
        <v>126</v>
      </c>
    </row>
    <row r="45" spans="2:8" x14ac:dyDescent="0.3">
      <c r="B45" s="46" t="s">
        <v>2</v>
      </c>
      <c r="C45" s="47">
        <v>69594</v>
      </c>
      <c r="D45" s="36">
        <f>+$E$19</f>
        <v>106478.7417232485</v>
      </c>
    </row>
    <row r="46" spans="2:8" x14ac:dyDescent="0.3">
      <c r="B46" s="46" t="s">
        <v>124</v>
      </c>
      <c r="C46" s="47">
        <v>1824</v>
      </c>
      <c r="D46" s="50">
        <f>+$F$19</f>
        <v>1824</v>
      </c>
    </row>
    <row r="47" spans="2:8" x14ac:dyDescent="0.3">
      <c r="B47" s="44" t="s">
        <v>7</v>
      </c>
      <c r="C47" s="45">
        <v>692069</v>
      </c>
      <c r="D47" s="36">
        <f>+$G$19</f>
        <v>949528.21695905935</v>
      </c>
    </row>
    <row r="48" spans="2:8" x14ac:dyDescent="0.3">
      <c r="B48" s="29" t="s">
        <v>8</v>
      </c>
      <c r="C48" s="7">
        <v>0</v>
      </c>
      <c r="D48" s="36">
        <f>+C48</f>
        <v>0</v>
      </c>
    </row>
    <row r="49" spans="2:4" ht="15" thickBot="1" x14ac:dyDescent="0.35">
      <c r="B49" s="24" t="s">
        <v>9</v>
      </c>
      <c r="C49" s="6">
        <v>1229489</v>
      </c>
      <c r="D49" s="36">
        <f>+C49</f>
        <v>1229489</v>
      </c>
    </row>
    <row r="50" spans="2:4" ht="15" thickBot="1" x14ac:dyDescent="0.35">
      <c r="B50" s="43" t="s">
        <v>10</v>
      </c>
      <c r="C50" s="9">
        <v>1229489</v>
      </c>
      <c r="D50" s="51">
        <f>+SUM(D45:D49)</f>
        <v>2287319.958682308</v>
      </c>
    </row>
    <row r="51" spans="2:4" x14ac:dyDescent="0.3">
      <c r="B51" s="24" t="s">
        <v>11</v>
      </c>
      <c r="C51" s="6">
        <v>0</v>
      </c>
      <c r="D51" s="36">
        <f>+C51</f>
        <v>0</v>
      </c>
    </row>
    <row r="52" spans="2:4" x14ac:dyDescent="0.3">
      <c r="B52" s="29" t="s">
        <v>12</v>
      </c>
      <c r="C52" s="7">
        <v>0</v>
      </c>
      <c r="D52" s="36">
        <f t="shared" ref="D52:D60" si="1">+C52</f>
        <v>0</v>
      </c>
    </row>
    <row r="53" spans="2:4" x14ac:dyDescent="0.3">
      <c r="B53" s="24" t="s">
        <v>3</v>
      </c>
      <c r="C53" s="6">
        <v>912</v>
      </c>
      <c r="D53" s="36">
        <f t="shared" si="1"/>
        <v>912</v>
      </c>
    </row>
    <row r="54" spans="2:4" x14ac:dyDescent="0.3">
      <c r="B54" s="29" t="s">
        <v>4</v>
      </c>
      <c r="C54" s="7">
        <v>0</v>
      </c>
      <c r="D54" s="36">
        <f t="shared" si="1"/>
        <v>0</v>
      </c>
    </row>
    <row r="55" spans="2:4" x14ac:dyDescent="0.3">
      <c r="B55" s="24" t="s">
        <v>5</v>
      </c>
      <c r="C55" s="6">
        <v>0</v>
      </c>
      <c r="D55" s="36">
        <f t="shared" si="1"/>
        <v>0</v>
      </c>
    </row>
    <row r="56" spans="2:4" x14ac:dyDescent="0.3">
      <c r="B56" s="29" t="s">
        <v>6</v>
      </c>
      <c r="C56" s="7">
        <v>912</v>
      </c>
      <c r="D56" s="36">
        <f t="shared" si="1"/>
        <v>912</v>
      </c>
    </row>
    <row r="57" spans="2:4" x14ac:dyDescent="0.3">
      <c r="B57" s="29" t="s">
        <v>13</v>
      </c>
      <c r="C57" s="7">
        <v>0</v>
      </c>
      <c r="D57" s="36">
        <f t="shared" si="1"/>
        <v>0</v>
      </c>
    </row>
    <row r="58" spans="2:4" x14ac:dyDescent="0.3">
      <c r="B58" s="24" t="s">
        <v>14</v>
      </c>
      <c r="C58" s="6">
        <v>473182</v>
      </c>
      <c r="D58" s="36">
        <f t="shared" si="1"/>
        <v>473182</v>
      </c>
    </row>
    <row r="59" spans="2:4" x14ac:dyDescent="0.3">
      <c r="B59" s="29" t="s">
        <v>15</v>
      </c>
      <c r="C59" s="7">
        <v>2316</v>
      </c>
      <c r="D59" s="36">
        <f t="shared" si="1"/>
        <v>2316</v>
      </c>
    </row>
    <row r="60" spans="2:4" ht="15" thickBot="1" x14ac:dyDescent="0.35">
      <c r="B60" s="24" t="s">
        <v>16</v>
      </c>
      <c r="C60" s="6">
        <v>0</v>
      </c>
      <c r="D60" s="36">
        <f t="shared" si="1"/>
        <v>0</v>
      </c>
    </row>
    <row r="61" spans="2:4" ht="15" thickBot="1" x14ac:dyDescent="0.35">
      <c r="B61" s="43" t="s">
        <v>17</v>
      </c>
      <c r="C61" s="9">
        <v>476410</v>
      </c>
      <c r="D61" s="51">
        <f>+SUM(D51:D60)</f>
        <v>477322</v>
      </c>
    </row>
    <row r="62" spans="2:4" ht="15" thickBot="1" x14ac:dyDescent="0.35">
      <c r="B62" s="48" t="s">
        <v>18</v>
      </c>
      <c r="C62" s="9">
        <v>1705899</v>
      </c>
      <c r="D62" s="51">
        <f>+D50+D61</f>
        <v>2764641.958682308</v>
      </c>
    </row>
    <row r="63" spans="2:4" x14ac:dyDescent="0.3">
      <c r="B63" s="29" t="s">
        <v>19</v>
      </c>
      <c r="C63" s="7">
        <v>161420</v>
      </c>
      <c r="D63" s="36">
        <f>+C63</f>
        <v>161420</v>
      </c>
    </row>
    <row r="64" spans="2:4" ht="19.8" customHeight="1" x14ac:dyDescent="0.3">
      <c r="B64" s="44" t="s">
        <v>125</v>
      </c>
      <c r="C64" s="45">
        <v>1008688</v>
      </c>
      <c r="D64" s="50">
        <f>+$H$19</f>
        <v>600000</v>
      </c>
    </row>
    <row r="65" spans="2:4" ht="14.4" customHeight="1" x14ac:dyDescent="0.3">
      <c r="B65" s="24" t="s">
        <v>24</v>
      </c>
      <c r="C65" s="6">
        <v>4170</v>
      </c>
      <c r="D65" s="36">
        <f>+C65</f>
        <v>4170</v>
      </c>
    </row>
    <row r="66" spans="2:4" ht="15" thickBot="1" x14ac:dyDescent="0.35">
      <c r="B66" s="29" t="s">
        <v>25</v>
      </c>
      <c r="C66" s="7">
        <v>669934</v>
      </c>
      <c r="D66" s="36">
        <f>+C66</f>
        <v>669934</v>
      </c>
    </row>
    <row r="67" spans="2:4" ht="15" thickBot="1" x14ac:dyDescent="0.35">
      <c r="B67" s="43" t="s">
        <v>26</v>
      </c>
      <c r="C67" s="9">
        <v>669934</v>
      </c>
      <c r="D67" s="51">
        <f>+SUM(D63:D66)</f>
        <v>1728676.958682308</v>
      </c>
    </row>
    <row r="68" spans="2:4" x14ac:dyDescent="0.3">
      <c r="B68" s="29" t="s">
        <v>19</v>
      </c>
      <c r="C68" s="7">
        <v>0</v>
      </c>
      <c r="D68" s="36">
        <f>+C68</f>
        <v>0</v>
      </c>
    </row>
    <row r="69" spans="2:4" x14ac:dyDescent="0.3">
      <c r="B69" s="29" t="s">
        <v>27</v>
      </c>
      <c r="C69" s="7">
        <v>3686</v>
      </c>
      <c r="D69" s="36">
        <f t="shared" ref="D69:D70" si="2">+C69</f>
        <v>3686</v>
      </c>
    </row>
    <row r="70" spans="2:4" ht="15" thickBot="1" x14ac:dyDescent="0.35">
      <c r="B70" s="29" t="s">
        <v>24</v>
      </c>
      <c r="C70" s="7">
        <v>7744</v>
      </c>
      <c r="D70" s="36">
        <f t="shared" si="2"/>
        <v>7744</v>
      </c>
    </row>
    <row r="71" spans="2:4" ht="15" thickBot="1" x14ac:dyDescent="0.35">
      <c r="B71" s="43" t="s">
        <v>28</v>
      </c>
      <c r="C71" s="9">
        <v>11430</v>
      </c>
      <c r="D71" s="51">
        <f>+SUM(D68:D70)</f>
        <v>11430</v>
      </c>
    </row>
    <row r="72" spans="2:4" ht="15" thickBot="1" x14ac:dyDescent="0.35">
      <c r="B72" s="48" t="s">
        <v>127</v>
      </c>
      <c r="C72" s="9">
        <v>681364</v>
      </c>
      <c r="D72" s="51">
        <f>+D67+D71</f>
        <v>1740106.958682308</v>
      </c>
    </row>
    <row r="73" spans="2:4" x14ac:dyDescent="0.3">
      <c r="B73" s="29" t="s">
        <v>30</v>
      </c>
      <c r="C73" s="7">
        <v>700000</v>
      </c>
      <c r="D73" s="36">
        <f>+C73</f>
        <v>700000</v>
      </c>
    </row>
    <row r="74" spans="2:4" x14ac:dyDescent="0.3">
      <c r="B74" s="24" t="s">
        <v>31</v>
      </c>
      <c r="C74" s="6">
        <v>83000</v>
      </c>
      <c r="D74" s="36">
        <f t="shared" ref="D74:D75" si="3">+C74</f>
        <v>83000</v>
      </c>
    </row>
    <row r="75" spans="2:4" x14ac:dyDescent="0.3">
      <c r="B75" s="29" t="s">
        <v>32</v>
      </c>
      <c r="C75" s="7">
        <v>89234</v>
      </c>
      <c r="D75" s="36">
        <f t="shared" si="3"/>
        <v>89234</v>
      </c>
    </row>
    <row r="76" spans="2:4" x14ac:dyDescent="0.3">
      <c r="B76" s="24" t="s">
        <v>33</v>
      </c>
      <c r="C76" s="6">
        <v>152301</v>
      </c>
      <c r="D76" s="36">
        <f>+C76</f>
        <v>152301</v>
      </c>
    </row>
    <row r="77" spans="2:4" ht="15" thickBot="1" x14ac:dyDescent="0.35">
      <c r="B77" s="29" t="s">
        <v>34</v>
      </c>
      <c r="C77" s="7">
        <v>0</v>
      </c>
      <c r="D77" s="36">
        <f>+C77</f>
        <v>0</v>
      </c>
    </row>
    <row r="78" spans="2:4" ht="15" thickBot="1" x14ac:dyDescent="0.35">
      <c r="B78" s="48" t="s">
        <v>128</v>
      </c>
      <c r="C78" s="9">
        <v>1024535</v>
      </c>
      <c r="D78" s="51">
        <f>+SUM(D73:D77)</f>
        <v>1024535</v>
      </c>
    </row>
    <row r="79" spans="2:4" ht="15" thickBot="1" x14ac:dyDescent="0.35">
      <c r="B79" s="43" t="s">
        <v>36</v>
      </c>
      <c r="C79" s="9">
        <v>1705899</v>
      </c>
      <c r="D79" s="51">
        <f>+D72+D78</f>
        <v>2764641.958682308</v>
      </c>
    </row>
    <row r="80" spans="2:4" x14ac:dyDescent="0.3">
      <c r="B80" s="87" t="s">
        <v>251</v>
      </c>
    </row>
  </sheetData>
  <conditionalFormatting sqref="D7:D19">
    <cfRule type="cellIs" dxfId="2" priority="2" operator="lessThan">
      <formula>0</formula>
    </cfRule>
  </conditionalFormatting>
  <conditionalFormatting sqref="D25:D37">
    <cfRule type="cellIs" dxfId="1" priority="1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C4109-D42C-4910-B273-CD4E3F5E4275}">
  <dimension ref="B1:G61"/>
  <sheetViews>
    <sheetView showGridLines="0" topLeftCell="A17" workbookViewId="0">
      <selection activeCell="G9" sqref="G9"/>
    </sheetView>
  </sheetViews>
  <sheetFormatPr baseColWidth="10" defaultRowHeight="14.4" x14ac:dyDescent="0.3"/>
  <cols>
    <col min="1" max="1" width="19.77734375" customWidth="1"/>
    <col min="2" max="2" width="36.33203125" customWidth="1"/>
    <col min="3" max="3" width="15" bestFit="1" customWidth="1"/>
    <col min="4" max="4" width="2.21875" customWidth="1"/>
    <col min="5" max="5" width="30.77734375" customWidth="1"/>
    <col min="6" max="6" width="15.88671875" customWidth="1"/>
    <col min="7" max="7" width="25.88671875" customWidth="1"/>
    <col min="8" max="8" width="23.21875" customWidth="1"/>
  </cols>
  <sheetData>
    <row r="1" spans="2:6" x14ac:dyDescent="0.3">
      <c r="B1" t="s">
        <v>129</v>
      </c>
    </row>
    <row r="2" spans="2:6" x14ac:dyDescent="0.3">
      <c r="B2" t="s">
        <v>259</v>
      </c>
    </row>
    <row r="3" spans="2:6" x14ac:dyDescent="0.3">
      <c r="B3" t="s">
        <v>260</v>
      </c>
    </row>
    <row r="5" spans="2:6" x14ac:dyDescent="0.3">
      <c r="B5" s="133" t="s">
        <v>132</v>
      </c>
      <c r="C5" s="133" t="s">
        <v>134</v>
      </c>
      <c r="D5" s="133"/>
      <c r="E5" s="133" t="s">
        <v>133</v>
      </c>
      <c r="F5" s="133" t="s">
        <v>134</v>
      </c>
    </row>
    <row r="6" spans="2:6" x14ac:dyDescent="0.3">
      <c r="B6" t="s">
        <v>2</v>
      </c>
      <c r="C6" s="28">
        <v>106478.7417232485</v>
      </c>
      <c r="D6" s="28"/>
      <c r="E6" t="s">
        <v>125</v>
      </c>
      <c r="F6" s="28">
        <v>600000</v>
      </c>
    </row>
    <row r="7" spans="2:6" x14ac:dyDescent="0.3">
      <c r="B7" t="s">
        <v>124</v>
      </c>
      <c r="C7" s="28">
        <v>1824</v>
      </c>
      <c r="D7" s="28"/>
      <c r="E7" s="70" t="s">
        <v>127</v>
      </c>
      <c r="F7" s="91">
        <v>1446954</v>
      </c>
    </row>
    <row r="8" spans="2:6" x14ac:dyDescent="0.3">
      <c r="B8" t="s">
        <v>7</v>
      </c>
      <c r="C8" s="28">
        <v>949528.21695905935</v>
      </c>
      <c r="D8" s="28"/>
      <c r="E8" t="s">
        <v>30</v>
      </c>
      <c r="F8" s="28">
        <v>700000</v>
      </c>
    </row>
    <row r="9" spans="2:6" x14ac:dyDescent="0.3">
      <c r="B9" s="70" t="s">
        <v>131</v>
      </c>
      <c r="C9" s="91">
        <v>2287319.958682308</v>
      </c>
      <c r="D9" s="28"/>
      <c r="E9" t="s">
        <v>32</v>
      </c>
      <c r="F9" s="28">
        <v>89234</v>
      </c>
    </row>
    <row r="10" spans="2:6" x14ac:dyDescent="0.3">
      <c r="B10" t="s">
        <v>11</v>
      </c>
      <c r="C10" s="28">
        <v>0</v>
      </c>
      <c r="D10" s="28"/>
      <c r="E10" t="s">
        <v>33</v>
      </c>
      <c r="F10" s="28">
        <v>152301</v>
      </c>
    </row>
    <row r="11" spans="2:6" x14ac:dyDescent="0.3">
      <c r="B11" t="s">
        <v>14</v>
      </c>
      <c r="C11" s="28">
        <v>473182</v>
      </c>
      <c r="D11" s="28"/>
      <c r="E11" s="70" t="s">
        <v>128</v>
      </c>
      <c r="F11" s="91">
        <v>1024535</v>
      </c>
    </row>
    <row r="12" spans="2:6" x14ac:dyDescent="0.3">
      <c r="B12" s="70" t="s">
        <v>130</v>
      </c>
      <c r="C12" s="91">
        <v>477322</v>
      </c>
      <c r="D12" s="28"/>
      <c r="E12" s="92" t="s">
        <v>350</v>
      </c>
      <c r="F12" s="72">
        <f>+C13-2471489</f>
        <v>293152.95868230797</v>
      </c>
    </row>
    <row r="13" spans="2:6" x14ac:dyDescent="0.3">
      <c r="B13" s="71" t="s">
        <v>18</v>
      </c>
      <c r="C13" s="91">
        <f>+C9+C12</f>
        <v>2764641.958682308</v>
      </c>
      <c r="D13" s="91"/>
      <c r="E13" s="71" t="s">
        <v>36</v>
      </c>
      <c r="F13" s="91">
        <f>+F7+F11+F12</f>
        <v>2764641.958682308</v>
      </c>
    </row>
    <row r="14" spans="2:6" x14ac:dyDescent="0.3">
      <c r="B14" s="87" t="s">
        <v>252</v>
      </c>
    </row>
    <row r="16" spans="2:6" x14ac:dyDescent="0.3">
      <c r="B16" t="s">
        <v>253</v>
      </c>
    </row>
    <row r="18" spans="2:6" ht="15.6" x14ac:dyDescent="0.3">
      <c r="B18" s="120" t="s">
        <v>0</v>
      </c>
      <c r="C18" s="120" t="s">
        <v>126</v>
      </c>
      <c r="D18" s="121"/>
      <c r="E18" s="120" t="s">
        <v>0</v>
      </c>
      <c r="F18" s="120" t="s">
        <v>126</v>
      </c>
    </row>
    <row r="19" spans="2:6" x14ac:dyDescent="0.3">
      <c r="B19" s="78" t="str">
        <f>+'Planeamiento Financiero'!B45</f>
        <v>Efectivo y Equivalentes al Efectivo</v>
      </c>
      <c r="C19" s="36">
        <f>+'Planeamiento Financiero'!D45</f>
        <v>106478.7417232485</v>
      </c>
      <c r="D19" s="36"/>
      <c r="E19" s="79" t="str">
        <f>+'Planeamiento Financiero'!B63</f>
        <v>Otros Pasivos Financieros</v>
      </c>
      <c r="F19" s="36">
        <f>+'Planeamiento Financiero'!D63</f>
        <v>161420</v>
      </c>
    </row>
    <row r="20" spans="2:6" x14ac:dyDescent="0.3">
      <c r="B20" s="78" t="str">
        <f>+'Planeamiento Financiero'!B46</f>
        <v>Cuentas por cobrar totales</v>
      </c>
      <c r="C20" s="36">
        <f>+'Planeamiento Financiero'!D46</f>
        <v>1824</v>
      </c>
      <c r="D20" s="36"/>
      <c r="E20" t="s">
        <v>150</v>
      </c>
      <c r="F20" s="36">
        <v>34677.083333333336</v>
      </c>
    </row>
    <row r="21" spans="2:6" x14ac:dyDescent="0.3">
      <c r="B21" s="78" t="str">
        <f>+'Planeamiento Financiero'!B47</f>
        <v>Inventarios</v>
      </c>
      <c r="C21" s="36">
        <f>+'Planeamiento Financiero'!D47</f>
        <v>949528.21695905935</v>
      </c>
      <c r="D21" s="36"/>
      <c r="E21" s="78" t="s">
        <v>149</v>
      </c>
      <c r="F21" s="36">
        <f>+'Planeamiento Financiero'!D64-F20</f>
        <v>858475.8753489746</v>
      </c>
    </row>
    <row r="22" spans="2:6" x14ac:dyDescent="0.3">
      <c r="B22" s="78" t="str">
        <f>+'Planeamiento Financiero'!B48</f>
        <v>Activos Corrientes Distintos al Efectivo Pignorados como Garantía Colateral</v>
      </c>
      <c r="C22" s="36">
        <f>+'Planeamiento Financiero'!D48</f>
        <v>0</v>
      </c>
      <c r="D22" s="36"/>
      <c r="E22" s="78" t="str">
        <f>+'Planeamiento Financiero'!B65</f>
        <v>Otros Pasivos no Financieros</v>
      </c>
      <c r="F22" s="36">
        <f>+'Planeamiento Financiero'!D65</f>
        <v>4170</v>
      </c>
    </row>
    <row r="23" spans="2:6" x14ac:dyDescent="0.3">
      <c r="B23" s="78" t="str">
        <f>+'Planeamiento Financiero'!B49</f>
        <v xml:space="preserve">Total Activos Corrientes Distintos de los Activos no Corrientes </v>
      </c>
      <c r="C23" s="36">
        <f>+'Planeamiento Financiero'!D49</f>
        <v>1229489</v>
      </c>
      <c r="D23" s="36"/>
      <c r="E23" s="78" t="str">
        <f>+'Planeamiento Financiero'!B66</f>
        <v>Total de Pasivos Corrientes Distintos de Pasivos Incluidos en Grupos de Activos para su Disposición Clasificados como Mantenidos para la Venta</v>
      </c>
      <c r="F23" s="36">
        <f>+'Planeamiento Financiero'!D66</f>
        <v>669934</v>
      </c>
    </row>
    <row r="24" spans="2:6" x14ac:dyDescent="0.3">
      <c r="B24" s="83" t="s">
        <v>144</v>
      </c>
      <c r="C24" s="81">
        <f>+'Planeamiento Financiero'!D50</f>
        <v>2287319.958682308</v>
      </c>
      <c r="D24" s="81"/>
      <c r="E24" s="83" t="s">
        <v>147</v>
      </c>
      <c r="F24" s="81">
        <f>+'Planeamiento Financiero'!D67</f>
        <v>1728676.958682308</v>
      </c>
    </row>
    <row r="25" spans="2:6" x14ac:dyDescent="0.3">
      <c r="B25" s="78" t="str">
        <f>+'Planeamiento Financiero'!B51</f>
        <v>Otros Activos Financieros</v>
      </c>
      <c r="C25" s="36">
        <f>+'Planeamiento Financiero'!D51</f>
        <v>0</v>
      </c>
      <c r="D25" s="36"/>
      <c r="E25" s="78" t="str">
        <f>+'Planeamiento Financiero'!B68</f>
        <v>Otros Pasivos Financieros</v>
      </c>
      <c r="F25" s="36">
        <f>+'Planeamiento Financiero'!D68</f>
        <v>0</v>
      </c>
    </row>
    <row r="26" spans="2:6" x14ac:dyDescent="0.3">
      <c r="B26" s="78" t="str">
        <f>+'Planeamiento Financiero'!B52</f>
        <v>Inversiones en Subsidiarias, Negocios Conjuntos y Asociadas</v>
      </c>
      <c r="C26" s="36">
        <f>+'Planeamiento Financiero'!D52</f>
        <v>0</v>
      </c>
      <c r="D26" s="36"/>
      <c r="E26" s="78" t="str">
        <f>+'Planeamiento Financiero'!B69</f>
        <v>Pasivos por Impuestos Diferidos</v>
      </c>
      <c r="F26" s="36">
        <f>+'Planeamiento Financiero'!D69</f>
        <v>3686</v>
      </c>
    </row>
    <row r="27" spans="2:6" x14ac:dyDescent="0.3">
      <c r="B27" s="78" t="str">
        <f>+'Planeamiento Financiero'!B53</f>
        <v>Cuentas por Cobrar Comerciales y Otras Cuentas por Cobrar</v>
      </c>
      <c r="C27" s="36">
        <f>+'Planeamiento Financiero'!D53</f>
        <v>912</v>
      </c>
      <c r="D27" s="36"/>
      <c r="E27" s="78" t="str">
        <f>+'Planeamiento Financiero'!B70</f>
        <v>Otros Pasivos no Financieros</v>
      </c>
      <c r="F27" s="36">
        <f>+'Planeamiento Financiero'!D70</f>
        <v>7744</v>
      </c>
    </row>
    <row r="28" spans="2:6" x14ac:dyDescent="0.3">
      <c r="B28" s="78" t="str">
        <f>+'Planeamiento Financiero'!B54</f>
        <v>Cuentas por Cobrar Comerciales</v>
      </c>
      <c r="C28" s="36">
        <f>+'Planeamiento Financiero'!D54</f>
        <v>0</v>
      </c>
      <c r="D28" s="36"/>
      <c r="E28" s="83" t="s">
        <v>148</v>
      </c>
      <c r="F28" s="81">
        <f>+'Planeamiento Financiero'!D71</f>
        <v>11430</v>
      </c>
    </row>
    <row r="29" spans="2:6" x14ac:dyDescent="0.3">
      <c r="B29" s="78" t="str">
        <f>+'Planeamiento Financiero'!B55</f>
        <v>Cuentas por Cobrar a Entidades Relacionadas</v>
      </c>
      <c r="C29" s="36">
        <f>+'Planeamiento Financiero'!D55</f>
        <v>0</v>
      </c>
      <c r="D29" s="36"/>
      <c r="E29" s="80" t="str">
        <f>+'Planeamiento Financiero'!B72</f>
        <v>TOTAL PASIVOS</v>
      </c>
      <c r="F29" s="81">
        <f>+'Planeamiento Financiero'!D72</f>
        <v>1740106.958682308</v>
      </c>
    </row>
    <row r="30" spans="2:6" x14ac:dyDescent="0.3">
      <c r="B30" s="78" t="str">
        <f>+'Planeamiento Financiero'!B56</f>
        <v>Otras Cuentas por Cobrar</v>
      </c>
      <c r="C30" s="36">
        <f>+'Planeamiento Financiero'!D56</f>
        <v>912</v>
      </c>
      <c r="D30" s="36"/>
      <c r="E30" s="78" t="str">
        <f>+'Planeamiento Financiero'!B73</f>
        <v>Capital Emitido</v>
      </c>
      <c r="F30" s="36">
        <f>+'Planeamiento Financiero'!D73</f>
        <v>700000</v>
      </c>
    </row>
    <row r="31" spans="2:6" x14ac:dyDescent="0.3">
      <c r="B31" s="78" t="str">
        <f>+'Planeamiento Financiero'!B57</f>
        <v>Propiedades de Inversión</v>
      </c>
      <c r="C31" s="36">
        <f>+'Planeamiento Financiero'!D57</f>
        <v>0</v>
      </c>
      <c r="D31" s="36"/>
      <c r="E31" s="78" t="str">
        <f>+'Planeamiento Financiero'!B74</f>
        <v>Primas de Emisión</v>
      </c>
      <c r="F31" s="36">
        <f>+'Planeamiento Financiero'!D74</f>
        <v>83000</v>
      </c>
    </row>
    <row r="32" spans="2:6" x14ac:dyDescent="0.3">
      <c r="B32" s="78" t="str">
        <f>+'Planeamiento Financiero'!B58</f>
        <v>Propiedades, Planta y Equipo</v>
      </c>
      <c r="C32" s="36">
        <f>+'Planeamiento Financiero'!D58</f>
        <v>473182</v>
      </c>
      <c r="D32" s="36"/>
      <c r="E32" s="78" t="str">
        <f>+'Planeamiento Financiero'!B75</f>
        <v>Otras Reservas de Capital</v>
      </c>
      <c r="F32" s="36">
        <f>+'Planeamiento Financiero'!D75</f>
        <v>89234</v>
      </c>
    </row>
    <row r="33" spans="2:6" x14ac:dyDescent="0.3">
      <c r="B33" s="78" t="str">
        <f>+'Planeamiento Financiero'!B59</f>
        <v>Activos Intangibles Distintos de la Plusvalía</v>
      </c>
      <c r="C33" s="36">
        <f>+'Planeamiento Financiero'!D59</f>
        <v>2316</v>
      </c>
      <c r="D33" s="36"/>
      <c r="E33" s="78" t="str">
        <f>+'Planeamiento Financiero'!B76</f>
        <v>Resultados Acumulados</v>
      </c>
      <c r="F33" s="36">
        <f>+'Planeamiento Financiero'!D76</f>
        <v>152301</v>
      </c>
    </row>
    <row r="34" spans="2:6" x14ac:dyDescent="0.3">
      <c r="B34" s="78" t="str">
        <f>+'Planeamiento Financiero'!B60</f>
        <v>Activos por Impuestos Diferidos</v>
      </c>
      <c r="C34" s="36">
        <f>+'Planeamiento Financiero'!D60</f>
        <v>0</v>
      </c>
      <c r="D34" s="36"/>
      <c r="E34" s="78" t="str">
        <f>+'Planeamiento Financiero'!B77</f>
        <v>Otras Reservas de Patrimonio</v>
      </c>
      <c r="F34" s="36">
        <f>+'Planeamiento Financiero'!D77</f>
        <v>0</v>
      </c>
    </row>
    <row r="35" spans="2:6" x14ac:dyDescent="0.3">
      <c r="B35" s="83" t="s">
        <v>143</v>
      </c>
      <c r="C35" s="81">
        <f>+'Planeamiento Financiero'!D61</f>
        <v>477322</v>
      </c>
      <c r="D35" s="81"/>
      <c r="E35" s="80" t="str">
        <f>+'Planeamiento Financiero'!B78</f>
        <v>TOTAL PATRIMONIO</v>
      </c>
      <c r="F35" s="81">
        <f>+'Planeamiento Financiero'!D78</f>
        <v>1024535</v>
      </c>
    </row>
    <row r="36" spans="2:6" x14ac:dyDescent="0.3">
      <c r="B36" s="80" t="str">
        <f>+'Planeamiento Financiero'!B62</f>
        <v>TOTAL DE ACTIVOS</v>
      </c>
      <c r="C36" s="81">
        <f>+'Planeamiento Financiero'!D62</f>
        <v>2764641.958682308</v>
      </c>
      <c r="D36" s="81"/>
      <c r="E36" s="82" t="str">
        <f>+'Planeamiento Financiero'!B79</f>
        <v>TOTAL PASIVO Y PATRIMONIO</v>
      </c>
      <c r="F36" s="81">
        <f>+'Planeamiento Financiero'!D79</f>
        <v>2764641.958682308</v>
      </c>
    </row>
    <row r="37" spans="2:6" x14ac:dyDescent="0.3">
      <c r="B37" s="87" t="s">
        <v>254</v>
      </c>
    </row>
    <row r="39" spans="2:6" x14ac:dyDescent="0.3">
      <c r="B39" t="s">
        <v>261</v>
      </c>
    </row>
    <row r="40" spans="2:6" x14ac:dyDescent="0.3">
      <c r="B40" t="s">
        <v>262</v>
      </c>
    </row>
    <row r="41" spans="2:6" ht="15.6" x14ac:dyDescent="0.3">
      <c r="B41" s="120" t="s">
        <v>0</v>
      </c>
      <c r="C41" s="120" t="s">
        <v>126</v>
      </c>
      <c r="D41" s="120"/>
      <c r="E41" s="120" t="s">
        <v>0</v>
      </c>
      <c r="F41" s="120" t="s">
        <v>126</v>
      </c>
    </row>
    <row r="42" spans="2:6" x14ac:dyDescent="0.3">
      <c r="B42" s="146" t="s">
        <v>135</v>
      </c>
      <c r="C42" s="145">
        <f>+C22+C23</f>
        <v>1229489</v>
      </c>
      <c r="D42" s="75"/>
      <c r="E42" s="146" t="s">
        <v>138</v>
      </c>
      <c r="F42" s="141">
        <f>+F19+F22+F23</f>
        <v>835524</v>
      </c>
    </row>
    <row r="43" spans="2:6" x14ac:dyDescent="0.3">
      <c r="B43" s="146"/>
      <c r="C43" s="146"/>
      <c r="D43" s="75"/>
      <c r="E43" s="146"/>
      <c r="F43" s="142"/>
    </row>
    <row r="44" spans="2:6" x14ac:dyDescent="0.3">
      <c r="B44" s="146" t="s">
        <v>2</v>
      </c>
      <c r="C44" s="145">
        <f>+C19</f>
        <v>106478.7417232485</v>
      </c>
      <c r="D44" s="75"/>
      <c r="E44" s="146" t="s">
        <v>139</v>
      </c>
      <c r="F44" s="141">
        <f>+F20</f>
        <v>34677.083333333336</v>
      </c>
    </row>
    <row r="45" spans="2:6" x14ac:dyDescent="0.3">
      <c r="B45" s="146"/>
      <c r="C45" s="146"/>
      <c r="D45" s="75"/>
      <c r="E45" s="146"/>
      <c r="F45" s="142"/>
    </row>
    <row r="46" spans="2:6" x14ac:dyDescent="0.3">
      <c r="B46" s="146"/>
      <c r="C46" s="146"/>
      <c r="D46" s="75"/>
      <c r="E46" s="146" t="s">
        <v>140</v>
      </c>
      <c r="F46" s="141">
        <f>+F21-293152.958682308</f>
        <v>565322.91666666663</v>
      </c>
    </row>
    <row r="47" spans="2:6" x14ac:dyDescent="0.3">
      <c r="B47" s="146" t="s">
        <v>124</v>
      </c>
      <c r="C47" s="145">
        <f>+C20</f>
        <v>1824</v>
      </c>
      <c r="D47" s="75"/>
      <c r="E47" s="146"/>
      <c r="F47" s="142"/>
    </row>
    <row r="48" spans="2:6" x14ac:dyDescent="0.3">
      <c r="B48" s="146"/>
      <c r="C48" s="146"/>
      <c r="D48" s="75"/>
      <c r="E48" s="146"/>
      <c r="F48" s="142"/>
    </row>
    <row r="49" spans="2:7" x14ac:dyDescent="0.3">
      <c r="B49" s="146"/>
      <c r="C49" s="146"/>
      <c r="D49" s="75"/>
      <c r="E49" s="73" t="s">
        <v>151</v>
      </c>
      <c r="F49" s="74">
        <v>293152.95868230797</v>
      </c>
      <c r="G49" s="57"/>
    </row>
    <row r="50" spans="2:7" x14ac:dyDescent="0.3">
      <c r="B50" s="146" t="s">
        <v>7</v>
      </c>
      <c r="C50" s="145">
        <f>+C21</f>
        <v>949528.21695905935</v>
      </c>
      <c r="D50" s="75"/>
      <c r="E50" s="148" t="s">
        <v>145</v>
      </c>
      <c r="F50" s="143">
        <v>0</v>
      </c>
    </row>
    <row r="51" spans="2:7" x14ac:dyDescent="0.3">
      <c r="B51" s="146"/>
      <c r="C51" s="146"/>
      <c r="D51" s="75"/>
      <c r="E51" s="146"/>
      <c r="F51" s="142"/>
    </row>
    <row r="52" spans="2:7" x14ac:dyDescent="0.3">
      <c r="B52" s="146"/>
      <c r="C52" s="146"/>
      <c r="D52" s="75"/>
      <c r="E52" s="73" t="s">
        <v>141</v>
      </c>
      <c r="F52" s="74">
        <f>+F27+F26+F25</f>
        <v>11430</v>
      </c>
    </row>
    <row r="53" spans="2:7" x14ac:dyDescent="0.3">
      <c r="B53" s="148" t="s">
        <v>136</v>
      </c>
      <c r="C53" s="147">
        <f>+C32</f>
        <v>473182</v>
      </c>
      <c r="D53" s="75"/>
      <c r="E53" s="148" t="s">
        <v>142</v>
      </c>
      <c r="F53" s="143">
        <f>+F35</f>
        <v>1024535</v>
      </c>
    </row>
    <row r="54" spans="2:7" x14ac:dyDescent="0.3">
      <c r="B54" s="146"/>
      <c r="C54" s="146"/>
      <c r="D54" s="75"/>
      <c r="E54" s="146"/>
      <c r="F54" s="142"/>
    </row>
    <row r="55" spans="2:7" x14ac:dyDescent="0.3">
      <c r="B55" s="146"/>
      <c r="C55" s="146"/>
      <c r="D55" s="75"/>
      <c r="E55" s="146"/>
      <c r="F55" s="142"/>
    </row>
    <row r="56" spans="2:7" x14ac:dyDescent="0.3">
      <c r="B56" s="146" t="s">
        <v>137</v>
      </c>
      <c r="C56" s="145">
        <f>+SUM(C25:C34)-C32</f>
        <v>4140</v>
      </c>
      <c r="D56" s="75"/>
      <c r="E56" s="146"/>
      <c r="F56" s="142"/>
    </row>
    <row r="57" spans="2:7" x14ac:dyDescent="0.3">
      <c r="B57" s="146"/>
      <c r="C57" s="146"/>
      <c r="D57" s="75"/>
      <c r="E57" s="149"/>
      <c r="F57" s="144"/>
    </row>
    <row r="58" spans="2:7" x14ac:dyDescent="0.3">
      <c r="B58" s="59" t="s">
        <v>146</v>
      </c>
      <c r="C58" s="76">
        <f>+SUM(C42:C57)</f>
        <v>2764641.958682308</v>
      </c>
      <c r="D58" s="93"/>
      <c r="E58" s="59" t="s">
        <v>36</v>
      </c>
      <c r="F58" s="77">
        <f>+SUM(F42:F57)</f>
        <v>2764641.958682308</v>
      </c>
    </row>
    <row r="59" spans="2:7" x14ac:dyDescent="0.3">
      <c r="B59" s="87" t="s">
        <v>263</v>
      </c>
    </row>
    <row r="60" spans="2:7" x14ac:dyDescent="0.3">
      <c r="B60" s="87" t="s">
        <v>264</v>
      </c>
    </row>
    <row r="61" spans="2:7" x14ac:dyDescent="0.3">
      <c r="B61" s="87"/>
    </row>
  </sheetData>
  <mergeCells count="22">
    <mergeCell ref="B56:B57"/>
    <mergeCell ref="E42:E43"/>
    <mergeCell ref="E44:E45"/>
    <mergeCell ref="E46:E48"/>
    <mergeCell ref="E50:E51"/>
    <mergeCell ref="B42:B43"/>
    <mergeCell ref="B44:B46"/>
    <mergeCell ref="B47:B49"/>
    <mergeCell ref="B50:B52"/>
    <mergeCell ref="B53:B55"/>
    <mergeCell ref="C56:C57"/>
    <mergeCell ref="F42:F43"/>
    <mergeCell ref="F44:F45"/>
    <mergeCell ref="F46:F48"/>
    <mergeCell ref="F53:F57"/>
    <mergeCell ref="C42:C43"/>
    <mergeCell ref="C44:C46"/>
    <mergeCell ref="C47:C49"/>
    <mergeCell ref="C50:C52"/>
    <mergeCell ref="C53:C55"/>
    <mergeCell ref="E53:E57"/>
    <mergeCell ref="F50:F5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5F5A4-8EA2-4826-8D0B-ECB3DFFC1579}">
  <dimension ref="B1:G85"/>
  <sheetViews>
    <sheetView showGridLines="0" topLeftCell="A9" workbookViewId="0">
      <selection activeCell="B78" sqref="B78:G79"/>
    </sheetView>
  </sheetViews>
  <sheetFormatPr baseColWidth="10" defaultRowHeight="14.4" x14ac:dyDescent="0.3"/>
  <cols>
    <col min="1" max="1" width="3.5546875" customWidth="1"/>
    <col min="2" max="2" width="18.88671875" customWidth="1"/>
    <col min="3" max="3" width="11.21875" customWidth="1"/>
    <col min="4" max="4" width="11.33203125" customWidth="1"/>
    <col min="5" max="5" width="10.88671875" customWidth="1"/>
    <col min="6" max="6" width="11.44140625" customWidth="1"/>
    <col min="7" max="7" width="12.77734375" customWidth="1"/>
    <col min="8" max="8" width="22.21875" customWidth="1"/>
    <col min="13" max="13" width="11.33203125" customWidth="1"/>
    <col min="14" max="14" width="16.6640625" customWidth="1"/>
    <col min="15" max="15" width="13.44140625" bestFit="1" customWidth="1"/>
  </cols>
  <sheetData>
    <row r="1" spans="2:7" x14ac:dyDescent="0.3">
      <c r="B1" t="s">
        <v>183</v>
      </c>
    </row>
    <row r="3" spans="2:7" x14ac:dyDescent="0.3">
      <c r="B3" s="61" t="s">
        <v>175</v>
      </c>
      <c r="C3" s="56">
        <v>2384795</v>
      </c>
    </row>
    <row r="4" spans="2:7" x14ac:dyDescent="0.3">
      <c r="B4" s="149" t="s">
        <v>177</v>
      </c>
      <c r="C4" s="149"/>
      <c r="D4" s="149"/>
      <c r="E4" s="149"/>
      <c r="F4" s="149"/>
      <c r="G4" s="149"/>
    </row>
    <row r="5" spans="2:7" x14ac:dyDescent="0.3">
      <c r="B5" s="59" t="s">
        <v>158</v>
      </c>
      <c r="C5" s="59" t="s">
        <v>160</v>
      </c>
      <c r="D5" s="59" t="s">
        <v>161</v>
      </c>
      <c r="E5" s="59" t="s">
        <v>162</v>
      </c>
      <c r="F5" s="59" t="s">
        <v>163</v>
      </c>
      <c r="G5" s="59" t="s">
        <v>176</v>
      </c>
    </row>
    <row r="6" spans="2:7" x14ac:dyDescent="0.3">
      <c r="B6" s="73" t="s">
        <v>164</v>
      </c>
      <c r="C6" s="69">
        <v>535833.96207215206</v>
      </c>
      <c r="D6" s="69">
        <v>541550.72054162319</v>
      </c>
      <c r="E6" s="69">
        <v>512787.84482372098</v>
      </c>
      <c r="F6" s="69">
        <v>794622.47256250377</v>
      </c>
      <c r="G6" s="69">
        <f>+SUM(C6:F6)</f>
        <v>2384795</v>
      </c>
    </row>
    <row r="7" spans="2:7" x14ac:dyDescent="0.3">
      <c r="B7" s="115" t="s">
        <v>159</v>
      </c>
      <c r="C7" s="118">
        <f>+C6/$G$6</f>
        <v>0.22468764068699912</v>
      </c>
      <c r="D7" s="118">
        <f t="shared" ref="D7:F7" si="0">+D6/$G$6</f>
        <v>0.22708481045189344</v>
      </c>
      <c r="E7" s="118">
        <f t="shared" si="0"/>
        <v>0.21502386780571117</v>
      </c>
      <c r="F7" s="118">
        <f t="shared" si="0"/>
        <v>0.33320368105539627</v>
      </c>
      <c r="G7" s="118">
        <f>+SUM(C7:F7)</f>
        <v>1</v>
      </c>
    </row>
    <row r="8" spans="2:7" x14ac:dyDescent="0.3">
      <c r="B8" s="114"/>
      <c r="C8" s="114"/>
      <c r="D8" s="114"/>
      <c r="E8" s="114"/>
      <c r="F8" s="114"/>
      <c r="G8" s="119"/>
    </row>
    <row r="9" spans="2:7" x14ac:dyDescent="0.3">
      <c r="B9" s="59" t="s">
        <v>158</v>
      </c>
      <c r="C9" s="59" t="s">
        <v>160</v>
      </c>
      <c r="D9" s="59" t="s">
        <v>161</v>
      </c>
      <c r="E9" s="59" t="s">
        <v>162</v>
      </c>
      <c r="F9" s="59" t="s">
        <v>163</v>
      </c>
      <c r="G9" s="59" t="s">
        <v>176</v>
      </c>
    </row>
    <row r="10" spans="2:7" x14ac:dyDescent="0.3">
      <c r="B10" s="150" t="s">
        <v>168</v>
      </c>
      <c r="C10" s="150"/>
      <c r="D10" s="150"/>
      <c r="E10" s="150"/>
      <c r="F10" s="150"/>
      <c r="G10" s="150"/>
    </row>
    <row r="11" spans="2:7" x14ac:dyDescent="0.3">
      <c r="B11" s="73" t="s">
        <v>166</v>
      </c>
      <c r="C11" s="69">
        <f>+C21*$C$3</f>
        <v>466740.81583787024</v>
      </c>
      <c r="D11" s="69">
        <f t="shared" ref="D11:F11" si="1">+D21*$C$3</f>
        <v>467691.870242615</v>
      </c>
      <c r="E11" s="69">
        <f t="shared" si="1"/>
        <v>444812.66565022687</v>
      </c>
      <c r="F11" s="69">
        <f t="shared" si="1"/>
        <v>709256.21170078393</v>
      </c>
      <c r="G11" s="69">
        <f>+SUM(C11:F11)</f>
        <v>2088501.5634314963</v>
      </c>
    </row>
    <row r="12" spans="2:7" x14ac:dyDescent="0.3">
      <c r="B12" s="73" t="s">
        <v>165</v>
      </c>
      <c r="C12" s="69">
        <f t="shared" ref="C12:F12" si="2">+C22*$C$3</f>
        <v>57492.716639296304</v>
      </c>
      <c r="D12" s="69">
        <f t="shared" si="2"/>
        <v>60390.216027792005</v>
      </c>
      <c r="E12" s="69">
        <f t="shared" si="2"/>
        <v>55813.158037864057</v>
      </c>
      <c r="F12" s="69">
        <f t="shared" si="2"/>
        <v>65320.22473831079</v>
      </c>
      <c r="G12" s="69">
        <f t="shared" ref="G12:G13" si="3">+SUM(C12:F12)</f>
        <v>239016.31544326316</v>
      </c>
    </row>
    <row r="13" spans="2:7" x14ac:dyDescent="0.3">
      <c r="B13" s="73" t="s">
        <v>167</v>
      </c>
      <c r="C13" s="69">
        <f t="shared" ref="C13:F13" si="4">+C23*$C$3</f>
        <v>11600.429594985482</v>
      </c>
      <c r="D13" s="69">
        <f t="shared" si="4"/>
        <v>13468.634271216282</v>
      </c>
      <c r="E13" s="69">
        <f t="shared" si="4"/>
        <v>12162.021135630013</v>
      </c>
      <c r="F13" s="69">
        <f t="shared" si="4"/>
        <v>20046.036123409041</v>
      </c>
      <c r="G13" s="69">
        <f t="shared" si="3"/>
        <v>57277.121125240825</v>
      </c>
    </row>
    <row r="14" spans="2:7" x14ac:dyDescent="0.3">
      <c r="B14" s="73" t="s">
        <v>172</v>
      </c>
      <c r="C14" s="69">
        <f>+C11+C12+C13</f>
        <v>535833.96207215206</v>
      </c>
      <c r="D14" s="69">
        <f t="shared" ref="D14:F14" si="5">+D11+D12+D13</f>
        <v>541550.72054162319</v>
      </c>
      <c r="E14" s="69">
        <f t="shared" si="5"/>
        <v>512787.84482372098</v>
      </c>
      <c r="F14" s="69">
        <f t="shared" si="5"/>
        <v>794622.47256250377</v>
      </c>
      <c r="G14" s="69">
        <f t="shared" ref="G14" si="6">+SUM(G11:G13)</f>
        <v>2384795</v>
      </c>
    </row>
    <row r="15" spans="2:7" x14ac:dyDescent="0.3">
      <c r="B15" s="150" t="s">
        <v>169</v>
      </c>
      <c r="C15" s="150"/>
      <c r="D15" s="150"/>
      <c r="E15" s="150"/>
      <c r="F15" s="150"/>
      <c r="G15" s="150"/>
    </row>
    <row r="16" spans="2:7" x14ac:dyDescent="0.3">
      <c r="B16" s="73" t="s">
        <v>170</v>
      </c>
      <c r="C16" s="69">
        <f t="shared" ref="C16:F17" si="7">+C25*$C$3</f>
        <v>530931.77213764039</v>
      </c>
      <c r="D16" s="69">
        <f t="shared" si="7"/>
        <v>534533.43429381738</v>
      </c>
      <c r="E16" s="69">
        <f t="shared" si="7"/>
        <v>504716.05309789354</v>
      </c>
      <c r="F16" s="69">
        <f t="shared" si="7"/>
        <v>738268.58706600056</v>
      </c>
      <c r="G16" s="69">
        <f>+SUM(C16:F16)</f>
        <v>2308449.8465953516</v>
      </c>
    </row>
    <row r="17" spans="2:7" x14ac:dyDescent="0.3">
      <c r="B17" s="73" t="s">
        <v>171</v>
      </c>
      <c r="C17" s="69">
        <f t="shared" si="7"/>
        <v>4902.1899345116262</v>
      </c>
      <c r="D17" s="69">
        <f t="shared" si="7"/>
        <v>7017.2862478059669</v>
      </c>
      <c r="E17" s="69">
        <f t="shared" si="7"/>
        <v>8071.7917258273537</v>
      </c>
      <c r="F17" s="69">
        <f t="shared" si="7"/>
        <v>56353.885496503215</v>
      </c>
      <c r="G17" s="69">
        <f>+SUM(C17:F17)</f>
        <v>76345.153404648154</v>
      </c>
    </row>
    <row r="18" spans="2:7" x14ac:dyDescent="0.3">
      <c r="B18" s="73" t="s">
        <v>172</v>
      </c>
      <c r="C18" s="69">
        <f>+C16+C17</f>
        <v>535833.96207215206</v>
      </c>
      <c r="D18" s="69">
        <f t="shared" ref="D18:G18" si="8">+D16+D17</f>
        <v>541550.7205416233</v>
      </c>
      <c r="E18" s="69">
        <f t="shared" si="8"/>
        <v>512787.84482372092</v>
      </c>
      <c r="F18" s="69">
        <f t="shared" si="8"/>
        <v>794622.47256250377</v>
      </c>
      <c r="G18" s="69">
        <f t="shared" si="8"/>
        <v>2384794.9999999995</v>
      </c>
    </row>
    <row r="19" spans="2:7" x14ac:dyDescent="0.3">
      <c r="B19" s="150" t="s">
        <v>174</v>
      </c>
      <c r="C19" s="150"/>
      <c r="D19" s="150"/>
      <c r="E19" s="150"/>
      <c r="F19" s="150"/>
      <c r="G19" s="150"/>
    </row>
    <row r="20" spans="2:7" x14ac:dyDescent="0.3">
      <c r="B20" s="150" t="s">
        <v>168</v>
      </c>
      <c r="C20" s="150"/>
      <c r="D20" s="150"/>
      <c r="E20" s="150"/>
      <c r="F20" s="150"/>
      <c r="G20" s="150"/>
    </row>
    <row r="21" spans="2:7" x14ac:dyDescent="0.3">
      <c r="B21" s="73" t="s">
        <v>166</v>
      </c>
      <c r="C21" s="122">
        <f>1-D21-E21-F21-C22-D22-E22-F22-C23-D23-E23-F23</f>
        <v>0.19571527776512038</v>
      </c>
      <c r="D21" s="122">
        <v>0.19611407699303923</v>
      </c>
      <c r="E21" s="122">
        <v>0.18652029446985038</v>
      </c>
      <c r="F21" s="122">
        <v>0.29740762275196986</v>
      </c>
      <c r="G21" s="123">
        <f>+SUM(C21:F21)</f>
        <v>0.87575727197997988</v>
      </c>
    </row>
    <row r="22" spans="2:7" x14ac:dyDescent="0.3">
      <c r="B22" s="73" t="s">
        <v>165</v>
      </c>
      <c r="C22" s="122">
        <v>2.4108033033990891E-2</v>
      </c>
      <c r="D22" s="122">
        <v>2.5323021906617553E-2</v>
      </c>
      <c r="E22" s="122">
        <v>2.340375505561864E-2</v>
      </c>
      <c r="F22" s="122">
        <v>2.7390289202346863E-2</v>
      </c>
      <c r="G22" s="123">
        <f>+SUM(C22:F22)</f>
        <v>0.10022509919857393</v>
      </c>
    </row>
    <row r="23" spans="2:7" x14ac:dyDescent="0.3">
      <c r="B23" s="73" t="s">
        <v>167</v>
      </c>
      <c r="C23" s="122">
        <v>4.8643298878878402E-3</v>
      </c>
      <c r="D23" s="122">
        <v>5.647711552236684E-3</v>
      </c>
      <c r="E23" s="122">
        <v>5.0998182802421228E-3</v>
      </c>
      <c r="F23" s="122">
        <v>8.4057691010795653E-3</v>
      </c>
      <c r="G23" s="123">
        <f>+SUM(C23:F23)</f>
        <v>2.4017628821446212E-2</v>
      </c>
    </row>
    <row r="24" spans="2:7" x14ac:dyDescent="0.3">
      <c r="B24" s="150" t="s">
        <v>169</v>
      </c>
      <c r="C24" s="150"/>
      <c r="D24" s="150"/>
      <c r="E24" s="150"/>
      <c r="F24" s="150"/>
      <c r="G24" s="150"/>
    </row>
    <row r="25" spans="2:7" x14ac:dyDescent="0.3">
      <c r="B25" s="73" t="s">
        <v>170</v>
      </c>
      <c r="C25" s="122">
        <v>0.22263203845095297</v>
      </c>
      <c r="D25" s="122">
        <v>0.22414229914681025</v>
      </c>
      <c r="E25" s="122">
        <v>0.21163917783201219</v>
      </c>
      <c r="F25" s="122">
        <v>0.30957318640218573</v>
      </c>
      <c r="G25" s="123">
        <f>+SUM(C25:F25)</f>
        <v>0.96798670183196123</v>
      </c>
    </row>
    <row r="26" spans="2:7" x14ac:dyDescent="0.3">
      <c r="B26" s="115" t="s">
        <v>171</v>
      </c>
      <c r="C26" s="118">
        <v>2.0556022360461281E-3</v>
      </c>
      <c r="D26" s="118">
        <v>2.9425113050832322E-3</v>
      </c>
      <c r="E26" s="118">
        <v>3.3846899736989359E-3</v>
      </c>
      <c r="F26" s="118">
        <v>2.3630494653210533E-2</v>
      </c>
      <c r="G26" s="85">
        <f>+SUM(C26:F26)</f>
        <v>3.2013298168038828E-2</v>
      </c>
    </row>
    <row r="28" spans="2:7" x14ac:dyDescent="0.3">
      <c r="B28" s="11" t="s">
        <v>126</v>
      </c>
      <c r="C28" s="13">
        <v>2500000</v>
      </c>
    </row>
    <row r="29" spans="2:7" x14ac:dyDescent="0.3">
      <c r="B29" s="150" t="s">
        <v>178</v>
      </c>
      <c r="C29" s="150"/>
      <c r="D29" s="150"/>
      <c r="E29" s="150"/>
      <c r="F29" s="150"/>
      <c r="G29" s="150"/>
    </row>
    <row r="30" spans="2:7" x14ac:dyDescent="0.3">
      <c r="B30" s="59" t="s">
        <v>158</v>
      </c>
      <c r="C30" s="59" t="s">
        <v>160</v>
      </c>
      <c r="D30" s="59" t="s">
        <v>161</v>
      </c>
      <c r="E30" s="59" t="s">
        <v>162</v>
      </c>
      <c r="F30" s="59" t="s">
        <v>163</v>
      </c>
      <c r="G30" s="59" t="s">
        <v>176</v>
      </c>
    </row>
    <row r="31" spans="2:7" x14ac:dyDescent="0.3">
      <c r="B31" s="73" t="s">
        <v>164</v>
      </c>
      <c r="C31" s="124">
        <f>+C32*$C$28</f>
        <v>561719.1017174978</v>
      </c>
      <c r="D31" s="124">
        <f>+D32*$C$28</f>
        <v>567712.02612973354</v>
      </c>
      <c r="E31" s="124">
        <f>+E32*$C$28</f>
        <v>537559.66951427795</v>
      </c>
      <c r="F31" s="124">
        <f>+F32*$C$28</f>
        <v>833009.20263849071</v>
      </c>
      <c r="G31" s="69">
        <f>+SUM(C31:F31)</f>
        <v>2500000</v>
      </c>
    </row>
    <row r="32" spans="2:7" x14ac:dyDescent="0.3">
      <c r="B32" s="59" t="s">
        <v>159</v>
      </c>
      <c r="C32" s="125">
        <v>0.22468764068699912</v>
      </c>
      <c r="D32" s="125">
        <v>0.22708481045189344</v>
      </c>
      <c r="E32" s="125">
        <v>0.21502386780571117</v>
      </c>
      <c r="F32" s="125">
        <v>0.33320368105539627</v>
      </c>
      <c r="G32" s="66"/>
    </row>
    <row r="33" spans="2:7" x14ac:dyDescent="0.3">
      <c r="B33" s="73"/>
      <c r="C33" s="122"/>
      <c r="D33" s="122"/>
      <c r="E33" s="122"/>
      <c r="F33" s="122"/>
    </row>
    <row r="34" spans="2:7" x14ac:dyDescent="0.3">
      <c r="B34" s="150" t="s">
        <v>179</v>
      </c>
      <c r="C34" s="150"/>
      <c r="D34" s="150"/>
      <c r="E34" s="150"/>
      <c r="F34" s="150"/>
      <c r="G34" s="150"/>
    </row>
    <row r="35" spans="2:7" x14ac:dyDescent="0.3">
      <c r="B35" s="59" t="s">
        <v>158</v>
      </c>
      <c r="C35" s="59" t="s">
        <v>160</v>
      </c>
      <c r="D35" s="59" t="s">
        <v>161</v>
      </c>
      <c r="E35" s="59" t="s">
        <v>162</v>
      </c>
      <c r="F35" s="59" t="s">
        <v>163</v>
      </c>
      <c r="G35" s="59" t="s">
        <v>176</v>
      </c>
    </row>
    <row r="36" spans="2:7" x14ac:dyDescent="0.3">
      <c r="B36" s="150" t="s">
        <v>168</v>
      </c>
      <c r="C36" s="150"/>
      <c r="D36" s="150"/>
      <c r="E36" s="150"/>
      <c r="F36" s="150"/>
      <c r="G36" s="150"/>
    </row>
    <row r="37" spans="2:7" x14ac:dyDescent="0.3">
      <c r="B37" s="73" t="s">
        <v>166</v>
      </c>
      <c r="C37" s="69">
        <f t="shared" ref="C37:F39" si="9">+C47*$C$28</f>
        <v>489288.19441280095</v>
      </c>
      <c r="D37" s="69">
        <f t="shared" si="9"/>
        <v>490285.19248259807</v>
      </c>
      <c r="E37" s="69">
        <f t="shared" si="9"/>
        <v>466300.73617462598</v>
      </c>
      <c r="F37" s="69">
        <f t="shared" si="9"/>
        <v>743519.05687992461</v>
      </c>
      <c r="G37" s="69">
        <f>+SUM(C37:F37)</f>
        <v>2189393.1799499495</v>
      </c>
    </row>
    <row r="38" spans="2:7" x14ac:dyDescent="0.3">
      <c r="B38" s="73" t="s">
        <v>165</v>
      </c>
      <c r="C38" s="69">
        <f t="shared" si="9"/>
        <v>60270.08258497723</v>
      </c>
      <c r="D38" s="69">
        <f t="shared" si="9"/>
        <v>63307.554766543879</v>
      </c>
      <c r="E38" s="69">
        <f t="shared" si="9"/>
        <v>58509.387639046603</v>
      </c>
      <c r="F38" s="69">
        <f t="shared" si="9"/>
        <v>68475.723005867156</v>
      </c>
      <c r="G38" s="69">
        <f>+SUM(C38:F38)</f>
        <v>250562.74799643486</v>
      </c>
    </row>
    <row r="39" spans="2:7" x14ac:dyDescent="0.3">
      <c r="B39" s="73" t="s">
        <v>167</v>
      </c>
      <c r="C39" s="69">
        <f t="shared" si="9"/>
        <v>12160.8247197196</v>
      </c>
      <c r="D39" s="69">
        <f t="shared" si="9"/>
        <v>14119.27888059171</v>
      </c>
      <c r="E39" s="69">
        <f t="shared" si="9"/>
        <v>12749.545700605308</v>
      </c>
      <c r="F39" s="69">
        <f t="shared" si="9"/>
        <v>21014.422752698913</v>
      </c>
      <c r="G39" s="69">
        <f>+SUM(C39:F39)</f>
        <v>60044.072053615528</v>
      </c>
    </row>
    <row r="40" spans="2:7" x14ac:dyDescent="0.3">
      <c r="B40" s="73" t="s">
        <v>172</v>
      </c>
      <c r="C40" s="69">
        <f>+C37+C38+C39</f>
        <v>561719.1017174978</v>
      </c>
      <c r="D40" s="69">
        <f t="shared" ref="D40:G40" si="10">+D37+D38+D39</f>
        <v>567712.02612973365</v>
      </c>
      <c r="E40" s="69">
        <f t="shared" si="10"/>
        <v>537559.66951427783</v>
      </c>
      <c r="F40" s="69">
        <f t="shared" si="10"/>
        <v>833009.20263849059</v>
      </c>
      <c r="G40" s="69">
        <f t="shared" si="10"/>
        <v>2500000</v>
      </c>
    </row>
    <row r="41" spans="2:7" x14ac:dyDescent="0.3">
      <c r="B41" s="150" t="s">
        <v>169</v>
      </c>
      <c r="C41" s="150"/>
      <c r="D41" s="150"/>
      <c r="E41" s="150"/>
      <c r="F41" s="150"/>
      <c r="G41" s="150"/>
    </row>
    <row r="42" spans="2:7" x14ac:dyDescent="0.3">
      <c r="B42" s="73" t="s">
        <v>170</v>
      </c>
      <c r="C42" s="69">
        <f t="shared" ref="C42:F43" si="11">+C51*$C$28</f>
        <v>556580.09612738248</v>
      </c>
      <c r="D42" s="69">
        <f t="shared" si="11"/>
        <v>560355.74786702567</v>
      </c>
      <c r="E42" s="69">
        <f t="shared" si="11"/>
        <v>529097.94458003051</v>
      </c>
      <c r="F42" s="69">
        <f t="shared" si="11"/>
        <v>773932.96600546432</v>
      </c>
      <c r="G42" s="69">
        <f>+SUM(C42:F42)</f>
        <v>2419966.7545799026</v>
      </c>
    </row>
    <row r="43" spans="2:7" x14ac:dyDescent="0.3">
      <c r="B43" s="73" t="s">
        <v>171</v>
      </c>
      <c r="C43" s="69">
        <f t="shared" si="11"/>
        <v>5139.00559011532</v>
      </c>
      <c r="D43" s="69">
        <f t="shared" si="11"/>
        <v>7356.2782627080805</v>
      </c>
      <c r="E43" s="69">
        <f t="shared" si="11"/>
        <v>8461.7249342473406</v>
      </c>
      <c r="F43" s="69">
        <f t="shared" si="11"/>
        <v>59076.236633026332</v>
      </c>
      <c r="G43" s="69">
        <f>+SUM(C43:F43)</f>
        <v>80033.245420097082</v>
      </c>
    </row>
    <row r="44" spans="2:7" x14ac:dyDescent="0.3">
      <c r="B44" s="73" t="s">
        <v>172</v>
      </c>
      <c r="C44" s="69">
        <f>+C42+C43</f>
        <v>561719.1017174978</v>
      </c>
      <c r="D44" s="69">
        <f t="shared" ref="D44" si="12">+D42+D43</f>
        <v>567712.02612973377</v>
      </c>
      <c r="E44" s="69">
        <f t="shared" ref="E44" si="13">+E42+E43</f>
        <v>537559.66951427783</v>
      </c>
      <c r="F44" s="69">
        <f t="shared" ref="F44:G44" si="14">+F42+F43</f>
        <v>833009.20263849059</v>
      </c>
      <c r="G44" s="69">
        <f t="shared" si="14"/>
        <v>2499999.9999999995</v>
      </c>
    </row>
    <row r="45" spans="2:7" x14ac:dyDescent="0.3">
      <c r="B45" s="150" t="s">
        <v>173</v>
      </c>
      <c r="C45" s="150"/>
      <c r="D45" s="150"/>
      <c r="E45" s="150"/>
      <c r="F45" s="150"/>
      <c r="G45" s="150"/>
    </row>
    <row r="46" spans="2:7" x14ac:dyDescent="0.3">
      <c r="B46" s="150" t="s">
        <v>168</v>
      </c>
      <c r="C46" s="150"/>
      <c r="D46" s="150"/>
      <c r="E46" s="150"/>
      <c r="F46" s="150"/>
      <c r="G46" s="150"/>
    </row>
    <row r="47" spans="2:7" x14ac:dyDescent="0.3">
      <c r="B47" s="73" t="s">
        <v>166</v>
      </c>
      <c r="C47" s="122">
        <v>0.19571527776512038</v>
      </c>
      <c r="D47" s="122">
        <v>0.19611407699303923</v>
      </c>
      <c r="E47" s="122">
        <v>0.18652029446985038</v>
      </c>
      <c r="F47" s="122">
        <v>0.29740762275196986</v>
      </c>
    </row>
    <row r="48" spans="2:7" x14ac:dyDescent="0.3">
      <c r="B48" s="73" t="s">
        <v>165</v>
      </c>
      <c r="C48" s="122">
        <v>2.4108033033990891E-2</v>
      </c>
      <c r="D48" s="122">
        <v>2.5323021906617553E-2</v>
      </c>
      <c r="E48" s="122">
        <v>2.340375505561864E-2</v>
      </c>
      <c r="F48" s="122">
        <v>2.7390289202346863E-2</v>
      </c>
    </row>
    <row r="49" spans="2:7" x14ac:dyDescent="0.3">
      <c r="B49" s="73" t="s">
        <v>167</v>
      </c>
      <c r="C49" s="122">
        <v>4.8643298878878402E-3</v>
      </c>
      <c r="D49" s="122">
        <v>5.647711552236684E-3</v>
      </c>
      <c r="E49" s="122">
        <v>5.0998182802421228E-3</v>
      </c>
      <c r="F49" s="122">
        <v>8.4057691010795653E-3</v>
      </c>
    </row>
    <row r="50" spans="2:7" x14ac:dyDescent="0.3">
      <c r="B50" s="150" t="s">
        <v>169</v>
      </c>
      <c r="C50" s="150"/>
      <c r="D50" s="150"/>
      <c r="E50" s="150"/>
      <c r="F50" s="150"/>
      <c r="G50" s="150"/>
    </row>
    <row r="51" spans="2:7" x14ac:dyDescent="0.3">
      <c r="B51" s="73" t="s">
        <v>170</v>
      </c>
      <c r="C51" s="122">
        <v>0.22263203845095297</v>
      </c>
      <c r="D51" s="122">
        <v>0.22414229914681025</v>
      </c>
      <c r="E51" s="122">
        <v>0.21163917783201219</v>
      </c>
      <c r="F51" s="122">
        <v>0.30957318640218573</v>
      </c>
    </row>
    <row r="52" spans="2:7" x14ac:dyDescent="0.3">
      <c r="B52" s="115" t="s">
        <v>171</v>
      </c>
      <c r="C52" s="118">
        <v>2.0556022360461281E-3</v>
      </c>
      <c r="D52" s="118">
        <v>2.9425113050832322E-3</v>
      </c>
      <c r="E52" s="118">
        <v>3.3846899736989359E-3</v>
      </c>
      <c r="F52" s="118">
        <v>2.3630494653210533E-2</v>
      </c>
      <c r="G52" s="65"/>
    </row>
    <row r="54" spans="2:7" x14ac:dyDescent="0.3">
      <c r="B54" t="s">
        <v>184</v>
      </c>
    </row>
    <row r="55" spans="2:7" x14ac:dyDescent="0.3">
      <c r="B55" s="59" t="s">
        <v>158</v>
      </c>
      <c r="C55" s="59" t="s">
        <v>160</v>
      </c>
      <c r="D55" s="59" t="s">
        <v>161</v>
      </c>
      <c r="E55" s="59" t="s">
        <v>162</v>
      </c>
      <c r="F55" s="59" t="s">
        <v>163</v>
      </c>
      <c r="G55" s="59" t="s">
        <v>176</v>
      </c>
    </row>
    <row r="56" spans="2:7" x14ac:dyDescent="0.3">
      <c r="B56" t="s">
        <v>156</v>
      </c>
      <c r="C56" s="111">
        <v>397808</v>
      </c>
      <c r="D56" s="111">
        <v>475015</v>
      </c>
      <c r="E56" s="111">
        <v>459640</v>
      </c>
      <c r="F56" s="111">
        <v>387070</v>
      </c>
      <c r="G56" s="111">
        <f>+SUM(C56:F56)</f>
        <v>1719533</v>
      </c>
    </row>
    <row r="57" spans="2:7" x14ac:dyDescent="0.3">
      <c r="B57" t="s">
        <v>185</v>
      </c>
      <c r="C57" s="111">
        <f>+C58-C56</f>
        <v>138025.96207215206</v>
      </c>
      <c r="D57" s="111">
        <f t="shared" ref="D57:F57" si="15">+D58-D56</f>
        <v>66535.720541623188</v>
      </c>
      <c r="E57" s="111">
        <f t="shared" si="15"/>
        <v>53147.844823720981</v>
      </c>
      <c r="F57" s="111">
        <f t="shared" si="15"/>
        <v>407552.47256250377</v>
      </c>
      <c r="G57" s="111">
        <f>+SUM(C57:F57)</f>
        <v>665262</v>
      </c>
    </row>
    <row r="58" spans="2:7" x14ac:dyDescent="0.3">
      <c r="B58" s="66" t="s">
        <v>186</v>
      </c>
      <c r="C58" s="112">
        <f>+C6</f>
        <v>535833.96207215206</v>
      </c>
      <c r="D58" s="112">
        <f t="shared" ref="D58:F58" si="16">+D6</f>
        <v>541550.72054162319</v>
      </c>
      <c r="E58" s="112">
        <f t="shared" si="16"/>
        <v>512787.84482372098</v>
      </c>
      <c r="F58" s="112">
        <f t="shared" si="16"/>
        <v>794622.47256250377</v>
      </c>
      <c r="G58" s="112">
        <f>+SUM(C58:F58)</f>
        <v>2384795</v>
      </c>
    </row>
    <row r="59" spans="2:7" x14ac:dyDescent="0.3">
      <c r="B59" t="s">
        <v>187</v>
      </c>
      <c r="C59" s="123">
        <f t="shared" ref="C59:G60" si="17">+C56/C$58</f>
        <v>0.74240908221198876</v>
      </c>
      <c r="D59" s="123">
        <f t="shared" si="17"/>
        <v>0.87713852457794061</v>
      </c>
      <c r="E59" s="123">
        <f t="shared" si="17"/>
        <v>0.89635510014479491</v>
      </c>
      <c r="F59" s="123">
        <f t="shared" si="17"/>
        <v>0.48711182148143145</v>
      </c>
      <c r="G59" s="123">
        <f t="shared" si="17"/>
        <v>0.72104017326436864</v>
      </c>
    </row>
    <row r="60" spans="2:7" x14ac:dyDescent="0.3">
      <c r="B60" s="65" t="s">
        <v>188</v>
      </c>
      <c r="C60" s="85">
        <f t="shared" si="17"/>
        <v>0.25759091778801124</v>
      </c>
      <c r="D60" s="85">
        <f t="shared" si="17"/>
        <v>0.12286147542205939</v>
      </c>
      <c r="E60" s="85">
        <f t="shared" si="17"/>
        <v>0.10364489985520503</v>
      </c>
      <c r="F60" s="85">
        <f t="shared" si="17"/>
        <v>0.51288817851856849</v>
      </c>
      <c r="G60" s="85">
        <f t="shared" si="17"/>
        <v>0.27895982673563136</v>
      </c>
    </row>
    <row r="62" spans="2:7" x14ac:dyDescent="0.3">
      <c r="B62" s="62" t="s">
        <v>189</v>
      </c>
    </row>
    <row r="63" spans="2:7" x14ac:dyDescent="0.3">
      <c r="B63" s="59" t="s">
        <v>158</v>
      </c>
      <c r="C63" s="59" t="s">
        <v>160</v>
      </c>
      <c r="D63" s="59" t="s">
        <v>161</v>
      </c>
      <c r="E63" s="59" t="s">
        <v>162</v>
      </c>
      <c r="F63" s="59" t="s">
        <v>163</v>
      </c>
      <c r="G63" s="59" t="s">
        <v>176</v>
      </c>
    </row>
    <row r="64" spans="2:7" x14ac:dyDescent="0.3">
      <c r="B64" t="s">
        <v>156</v>
      </c>
      <c r="C64" s="111">
        <v>450172.8</v>
      </c>
      <c r="D64" s="111">
        <v>537541.62</v>
      </c>
      <c r="E64" s="111">
        <v>520147.32</v>
      </c>
      <c r="F64" s="111">
        <v>438017.58</v>
      </c>
      <c r="G64" s="111">
        <f>SUM(C64:F64)</f>
        <v>1945879.32</v>
      </c>
    </row>
    <row r="65" spans="2:7" x14ac:dyDescent="0.3">
      <c r="B65" t="s">
        <v>185</v>
      </c>
      <c r="C65" s="111">
        <f>+C66-C64</f>
        <v>111546.30171749782</v>
      </c>
      <c r="D65" s="111">
        <f t="shared" ref="D65:F65" si="18">+D66-D64</f>
        <v>30170.406129733543</v>
      </c>
      <c r="E65" s="111">
        <f t="shared" si="18"/>
        <v>17412.349514277943</v>
      </c>
      <c r="F65" s="111">
        <f t="shared" si="18"/>
        <v>394991.62263849069</v>
      </c>
      <c r="G65" s="111">
        <f>SUM(C65:F65)</f>
        <v>554120.67999999993</v>
      </c>
    </row>
    <row r="66" spans="2:7" x14ac:dyDescent="0.3">
      <c r="B66" s="66" t="s">
        <v>186</v>
      </c>
      <c r="C66" s="112">
        <f>+C31</f>
        <v>561719.1017174978</v>
      </c>
      <c r="D66" s="112">
        <f t="shared" ref="D66:F66" si="19">+D31</f>
        <v>567712.02612973354</v>
      </c>
      <c r="E66" s="112">
        <f t="shared" si="19"/>
        <v>537559.66951427795</v>
      </c>
      <c r="F66" s="112">
        <f t="shared" si="19"/>
        <v>833009.20263849071</v>
      </c>
      <c r="G66" s="112">
        <f>SUM(C66:F66)</f>
        <v>2500000</v>
      </c>
    </row>
    <row r="67" spans="2:7" x14ac:dyDescent="0.3">
      <c r="B67" t="s">
        <v>187</v>
      </c>
      <c r="C67" s="123">
        <f>+C64/C$66</f>
        <v>0.80141978192225127</v>
      </c>
      <c r="D67" s="123">
        <f t="shared" ref="D67:G68" si="20">+D64/D$66</f>
        <v>0.94685614406406993</v>
      </c>
      <c r="E67" s="123">
        <f t="shared" si="20"/>
        <v>0.96760852701243161</v>
      </c>
      <c r="F67" s="123">
        <f t="shared" si="20"/>
        <v>0.52582561946808515</v>
      </c>
      <c r="G67" s="123">
        <f t="shared" si="20"/>
        <v>0.77835172800000008</v>
      </c>
    </row>
    <row r="68" spans="2:7" x14ac:dyDescent="0.3">
      <c r="B68" s="65" t="s">
        <v>188</v>
      </c>
      <c r="C68" s="85">
        <f>+C65/C$66</f>
        <v>0.1985802180777487</v>
      </c>
      <c r="D68" s="85">
        <f t="shared" si="20"/>
        <v>5.3143855935930101E-2</v>
      </c>
      <c r="E68" s="85">
        <f t="shared" si="20"/>
        <v>3.239147298756842E-2</v>
      </c>
      <c r="F68" s="85">
        <f t="shared" si="20"/>
        <v>0.47417438053191491</v>
      </c>
      <c r="G68" s="85">
        <f t="shared" si="20"/>
        <v>0.22164827199999998</v>
      </c>
    </row>
    <row r="71" spans="2:7" x14ac:dyDescent="0.3">
      <c r="B71" t="s">
        <v>181</v>
      </c>
    </row>
    <row r="72" spans="2:7" x14ac:dyDescent="0.3">
      <c r="B72" s="59" t="s">
        <v>158</v>
      </c>
      <c r="C72" s="59" t="s">
        <v>160</v>
      </c>
      <c r="D72" s="59" t="s">
        <v>161</v>
      </c>
      <c r="E72" s="59" t="s">
        <v>162</v>
      </c>
      <c r="F72" s="59" t="s">
        <v>163</v>
      </c>
      <c r="G72" s="59" t="s">
        <v>176</v>
      </c>
    </row>
    <row r="73" spans="2:7" x14ac:dyDescent="0.3">
      <c r="B73" s="65" t="s">
        <v>182</v>
      </c>
      <c r="C73" s="97">
        <f>+INT($G$73*C32)</f>
        <v>125000</v>
      </c>
      <c r="D73" s="97">
        <f>+INT($G$73*D32)</f>
        <v>126333</v>
      </c>
      <c r="E73" s="97">
        <f>+INT($G$73*E32)</f>
        <v>119623</v>
      </c>
      <c r="F73" s="97">
        <f>+INT($G$73*F32)</f>
        <v>185370</v>
      </c>
      <c r="G73" s="97">
        <v>556328</v>
      </c>
    </row>
    <row r="75" spans="2:7" x14ac:dyDescent="0.3">
      <c r="B75" s="62" t="s">
        <v>190</v>
      </c>
    </row>
    <row r="76" spans="2:7" x14ac:dyDescent="0.3">
      <c r="B76" t="s">
        <v>191</v>
      </c>
      <c r="D76">
        <v>0.05</v>
      </c>
    </row>
    <row r="78" spans="2:7" x14ac:dyDescent="0.3">
      <c r="B78" s="59" t="s">
        <v>158</v>
      </c>
      <c r="C78" s="59" t="s">
        <v>160</v>
      </c>
      <c r="D78" s="59" t="s">
        <v>161</v>
      </c>
      <c r="E78" s="59" t="s">
        <v>162</v>
      </c>
      <c r="F78" s="59" t="s">
        <v>163</v>
      </c>
      <c r="G78" s="59" t="s">
        <v>176</v>
      </c>
    </row>
    <row r="79" spans="2:7" x14ac:dyDescent="0.3">
      <c r="B79" s="65" t="s">
        <v>182</v>
      </c>
      <c r="C79" s="97">
        <f>+INT(C73*(1+$D$76))</f>
        <v>131250</v>
      </c>
      <c r="D79" s="97">
        <f t="shared" ref="D79:F79" si="21">+INT(D73*(1+$D$76))</f>
        <v>132649</v>
      </c>
      <c r="E79" s="97">
        <f t="shared" si="21"/>
        <v>125604</v>
      </c>
      <c r="F79" s="97">
        <f t="shared" si="21"/>
        <v>194638</v>
      </c>
      <c r="G79" s="97">
        <f>+SUM(C79:F79)</f>
        <v>584141</v>
      </c>
    </row>
    <row r="83" spans="4:4" x14ac:dyDescent="0.3">
      <c r="D83" s="58"/>
    </row>
    <row r="84" spans="4:4" x14ac:dyDescent="0.3">
      <c r="D84" s="58"/>
    </row>
    <row r="85" spans="4:4" x14ac:dyDescent="0.3">
      <c r="D85" s="58"/>
    </row>
  </sheetData>
  <mergeCells count="13">
    <mergeCell ref="B36:G36"/>
    <mergeCell ref="B41:G41"/>
    <mergeCell ref="B46:G46"/>
    <mergeCell ref="B50:G50"/>
    <mergeCell ref="B45:G45"/>
    <mergeCell ref="B4:G4"/>
    <mergeCell ref="B29:G29"/>
    <mergeCell ref="B34:G34"/>
    <mergeCell ref="B19:G19"/>
    <mergeCell ref="B20:G20"/>
    <mergeCell ref="B10:G10"/>
    <mergeCell ref="B15:G15"/>
    <mergeCell ref="B24:G24"/>
  </mergeCells>
  <conditionalFormatting sqref="C28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E16C6-52F4-427E-B966-AC0A78661450}">
  <dimension ref="B1:P55"/>
  <sheetViews>
    <sheetView showGridLines="0" topLeftCell="A17" zoomScaleNormal="100" workbookViewId="0">
      <selection activeCell="M29" sqref="M29"/>
    </sheetView>
  </sheetViews>
  <sheetFormatPr baseColWidth="10" defaultRowHeight="14.4" x14ac:dyDescent="0.3"/>
  <cols>
    <col min="1" max="1" width="5.109375" customWidth="1"/>
    <col min="2" max="2" width="23.21875" customWidth="1"/>
    <col min="3" max="3" width="9.109375" customWidth="1"/>
    <col min="4" max="4" width="12.5546875" customWidth="1"/>
    <col min="5" max="5" width="9.44140625" customWidth="1"/>
    <col min="6" max="6" width="15" customWidth="1"/>
    <col min="7" max="7" width="11.109375" customWidth="1"/>
    <col min="8" max="8" width="10.6640625" customWidth="1"/>
    <col min="9" max="9" width="14.21875" customWidth="1"/>
    <col min="10" max="10" width="11.109375" customWidth="1"/>
    <col min="11" max="11" width="10.77734375" customWidth="1"/>
    <col min="12" max="12" width="15.44140625" customWidth="1"/>
    <col min="13" max="13" width="9.33203125" customWidth="1"/>
    <col min="14" max="14" width="10.21875" customWidth="1"/>
    <col min="15" max="15" width="14.5546875" customWidth="1"/>
    <col min="16" max="16" width="16.109375" customWidth="1"/>
  </cols>
  <sheetData>
    <row r="1" spans="2:16" x14ac:dyDescent="0.3">
      <c r="B1" t="s">
        <v>265</v>
      </c>
    </row>
    <row r="2" spans="2:16" x14ac:dyDescent="0.3">
      <c r="B2" t="s">
        <v>268</v>
      </c>
    </row>
    <row r="3" spans="2:16" x14ac:dyDescent="0.3">
      <c r="B3" t="s">
        <v>302</v>
      </c>
      <c r="P3" s="57"/>
    </row>
    <row r="4" spans="2:16" x14ac:dyDescent="0.3">
      <c r="P4" s="57"/>
    </row>
    <row r="5" spans="2:16" x14ac:dyDescent="0.3">
      <c r="B5" s="60" t="s">
        <v>152</v>
      </c>
      <c r="C5" s="60" t="s">
        <v>153</v>
      </c>
      <c r="D5" s="60" t="s">
        <v>154</v>
      </c>
      <c r="E5" s="60" t="s">
        <v>155</v>
      </c>
      <c r="F5" s="60"/>
      <c r="G5" s="60" t="s">
        <v>154</v>
      </c>
      <c r="H5" s="60" t="s">
        <v>155</v>
      </c>
      <c r="I5" s="60"/>
      <c r="J5" s="60" t="s">
        <v>154</v>
      </c>
      <c r="K5" s="60" t="s">
        <v>155</v>
      </c>
      <c r="L5" s="60"/>
      <c r="M5" s="60" t="s">
        <v>154</v>
      </c>
      <c r="N5" s="60" t="s">
        <v>155</v>
      </c>
      <c r="O5" s="60"/>
      <c r="P5" s="60" t="s">
        <v>271</v>
      </c>
    </row>
    <row r="6" spans="2:16" x14ac:dyDescent="0.3">
      <c r="B6" s="63" t="s">
        <v>156</v>
      </c>
      <c r="C6" s="63" t="s">
        <v>180</v>
      </c>
      <c r="D6" s="69">
        <v>4200</v>
      </c>
      <c r="E6">
        <v>97440</v>
      </c>
      <c r="F6" s="69">
        <f>+D6*E6</f>
        <v>409248000</v>
      </c>
      <c r="G6" s="69">
        <v>4260</v>
      </c>
      <c r="H6">
        <v>116351</v>
      </c>
      <c r="I6" s="69">
        <f>+G6*H6</f>
        <v>495655260</v>
      </c>
      <c r="J6" s="69">
        <v>4200</v>
      </c>
      <c r="K6">
        <v>112586</v>
      </c>
      <c r="L6" s="69">
        <f>+J6*K6</f>
        <v>472861200</v>
      </c>
      <c r="M6" s="69">
        <v>4200</v>
      </c>
      <c r="N6">
        <v>94809</v>
      </c>
      <c r="O6" s="69">
        <f>+M6*N6</f>
        <v>398197800</v>
      </c>
      <c r="P6" s="69">
        <f>+F6+I6+L6+O6</f>
        <v>1775962260</v>
      </c>
    </row>
    <row r="7" spans="2:16" x14ac:dyDescent="0.3">
      <c r="B7" s="63" t="s">
        <v>157</v>
      </c>
      <c r="C7" s="63" t="s">
        <v>180</v>
      </c>
      <c r="D7" s="69">
        <v>4620</v>
      </c>
      <c r="E7">
        <v>53500</v>
      </c>
      <c r="F7" s="69">
        <f>+D7*E7</f>
        <v>247170000</v>
      </c>
      <c r="G7" s="69">
        <v>4620</v>
      </c>
      <c r="H7">
        <v>36200</v>
      </c>
      <c r="I7" s="69">
        <f>+G7*H7</f>
        <v>167244000</v>
      </c>
      <c r="J7" s="69">
        <v>4620</v>
      </c>
      <c r="K7">
        <v>31800</v>
      </c>
      <c r="L7" s="69">
        <f>+J7*K7</f>
        <v>146916000</v>
      </c>
      <c r="M7" s="69">
        <v>4620</v>
      </c>
      <c r="N7">
        <v>41200</v>
      </c>
      <c r="O7" s="69">
        <f>+M7*N7</f>
        <v>190344000</v>
      </c>
      <c r="P7" s="69">
        <f>+F7+I7+L7+O7</f>
        <v>751674000</v>
      </c>
    </row>
    <row r="8" spans="2:16" x14ac:dyDescent="0.3">
      <c r="B8" s="60" t="s">
        <v>172</v>
      </c>
      <c r="C8" s="60" t="s">
        <v>180</v>
      </c>
      <c r="D8" s="99">
        <f>+F8/E8</f>
        <v>4348.8670995097391</v>
      </c>
      <c r="E8" s="100">
        <f>+SUM(E6:E7)</f>
        <v>150940</v>
      </c>
      <c r="F8" s="99">
        <f>+SUM(F6:F7)</f>
        <v>656418000</v>
      </c>
      <c r="G8" s="99">
        <f>+I8/H8</f>
        <v>4345.4271686190195</v>
      </c>
      <c r="H8" s="100">
        <f>+SUM(H6:H7)</f>
        <v>152551</v>
      </c>
      <c r="I8" s="99">
        <f>+SUM(I6:I7)</f>
        <v>662899260</v>
      </c>
      <c r="J8" s="99">
        <f>+L8/K8</f>
        <v>4292.5020431343755</v>
      </c>
      <c r="K8" s="100">
        <f>+SUM(K6:K7)</f>
        <v>144386</v>
      </c>
      <c r="L8" s="99">
        <f>+SUM(L6:L7)</f>
        <v>619777200</v>
      </c>
      <c r="M8" s="99">
        <f>+O8/N8</f>
        <v>4327.2268746921163</v>
      </c>
      <c r="N8" s="100">
        <f>+SUM(N6:N7)</f>
        <v>136009</v>
      </c>
      <c r="O8" s="99">
        <f>+SUM(O6:O7)</f>
        <v>588541800</v>
      </c>
      <c r="P8" s="99">
        <f>+F8+I8+L8+O8</f>
        <v>2527636260</v>
      </c>
    </row>
    <row r="9" spans="2:16" x14ac:dyDescent="0.3">
      <c r="B9" s="63"/>
      <c r="C9" s="63"/>
      <c r="D9" s="69"/>
      <c r="E9" s="67"/>
      <c r="F9" s="69"/>
      <c r="G9" s="69"/>
      <c r="H9" s="67"/>
      <c r="I9" s="69"/>
      <c r="J9" s="69"/>
      <c r="K9" s="67"/>
      <c r="L9" s="69"/>
      <c r="M9" s="69"/>
      <c r="N9" s="67"/>
      <c r="O9" s="69"/>
      <c r="P9" s="69"/>
    </row>
    <row r="10" spans="2:16" x14ac:dyDescent="0.3">
      <c r="B10" s="64" t="s">
        <v>266</v>
      </c>
    </row>
    <row r="11" spans="2:16" x14ac:dyDescent="0.3">
      <c r="B11" s="64" t="s">
        <v>267</v>
      </c>
    </row>
    <row r="12" spans="2:16" x14ac:dyDescent="0.3">
      <c r="B12" s="64" t="s">
        <v>269</v>
      </c>
    </row>
    <row r="13" spans="2:16" x14ac:dyDescent="0.3">
      <c r="B13" s="64" t="s">
        <v>270</v>
      </c>
    </row>
    <row r="14" spans="2:16" x14ac:dyDescent="0.3">
      <c r="B14" s="64" t="s">
        <v>273</v>
      </c>
    </row>
    <row r="15" spans="2:16" x14ac:dyDescent="0.3">
      <c r="B15" s="64" t="s">
        <v>272</v>
      </c>
    </row>
    <row r="16" spans="2:16" x14ac:dyDescent="0.3">
      <c r="B16" s="64"/>
    </row>
    <row r="17" spans="2:16" x14ac:dyDescent="0.3">
      <c r="B17" s="64" t="s">
        <v>274</v>
      </c>
    </row>
    <row r="18" spans="2:16" x14ac:dyDescent="0.3">
      <c r="B18" s="64" t="s">
        <v>303</v>
      </c>
    </row>
    <row r="19" spans="2:16" x14ac:dyDescent="0.3">
      <c r="B19" s="64"/>
    </row>
    <row r="20" spans="2:16" ht="28.8" x14ac:dyDescent="0.3">
      <c r="B20" s="95" t="s">
        <v>152</v>
      </c>
      <c r="C20" s="95" t="s">
        <v>153</v>
      </c>
      <c r="D20" s="95" t="s">
        <v>154</v>
      </c>
      <c r="E20" s="95" t="s">
        <v>155</v>
      </c>
      <c r="F20" s="95"/>
      <c r="G20" s="95" t="s">
        <v>154</v>
      </c>
      <c r="H20" s="95" t="s">
        <v>155</v>
      </c>
      <c r="I20" s="95"/>
      <c r="J20" s="95" t="s">
        <v>154</v>
      </c>
      <c r="K20" s="95" t="s">
        <v>155</v>
      </c>
      <c r="L20" s="95"/>
      <c r="M20" s="95" t="s">
        <v>154</v>
      </c>
      <c r="N20" s="95" t="s">
        <v>155</v>
      </c>
      <c r="O20" s="95"/>
      <c r="P20" s="101" t="s">
        <v>271</v>
      </c>
    </row>
    <row r="21" spans="2:16" x14ac:dyDescent="0.3">
      <c r="B21" s="94" t="s">
        <v>192</v>
      </c>
      <c r="C21" s="94" t="s">
        <v>195</v>
      </c>
      <c r="D21" s="102">
        <v>12</v>
      </c>
      <c r="E21" s="103">
        <f>5*E28</f>
        <v>677360.5</v>
      </c>
      <c r="F21" s="102">
        <f>+D21*E21</f>
        <v>8128326</v>
      </c>
      <c r="G21" s="102">
        <v>12</v>
      </c>
      <c r="H21" s="103">
        <f>5*H28</f>
        <v>758895.99999999988</v>
      </c>
      <c r="I21" s="102">
        <f>+G21*H21</f>
        <v>9106751.9999999981</v>
      </c>
      <c r="J21" s="102">
        <v>12</v>
      </c>
      <c r="K21" s="103">
        <f>5*K28</f>
        <v>717935.5</v>
      </c>
      <c r="L21" s="102">
        <f>+J21*K21</f>
        <v>8615226</v>
      </c>
      <c r="M21" s="102">
        <v>12</v>
      </c>
      <c r="N21" s="103">
        <f>5*N28</f>
        <v>765238</v>
      </c>
      <c r="O21" s="102">
        <f>+M21*N21</f>
        <v>9182856</v>
      </c>
      <c r="P21" s="102">
        <f>+F21+I21+L21+O21</f>
        <v>35033160</v>
      </c>
    </row>
    <row r="22" spans="2:16" x14ac:dyDescent="0.3">
      <c r="B22" s="94" t="s">
        <v>193</v>
      </c>
      <c r="C22" s="94" t="s">
        <v>180</v>
      </c>
      <c r="D22" s="102">
        <f>860*1.5</f>
        <v>1290</v>
      </c>
      <c r="E22" s="103">
        <f>1.5*E28</f>
        <v>203208.15000000002</v>
      </c>
      <c r="F22" s="102">
        <f>+D22*E22</f>
        <v>262138513.50000003</v>
      </c>
      <c r="G22" s="102">
        <f>840*1.5</f>
        <v>1260</v>
      </c>
      <c r="H22" s="103">
        <f>1.5*H28</f>
        <v>227668.8</v>
      </c>
      <c r="I22" s="102">
        <f>+G22*H22</f>
        <v>286862688</v>
      </c>
      <c r="J22" s="102">
        <f>820*1.5</f>
        <v>1230</v>
      </c>
      <c r="K22" s="103">
        <f>1.5*K28</f>
        <v>215380.65000000002</v>
      </c>
      <c r="L22" s="102">
        <f>+J22*K22</f>
        <v>264918199.50000003</v>
      </c>
      <c r="M22" s="102">
        <f>1.5*830</f>
        <v>1245</v>
      </c>
      <c r="N22" s="103">
        <f>1.5*N28</f>
        <v>229571.40000000002</v>
      </c>
      <c r="O22" s="102">
        <f>+M22*N22</f>
        <v>285816393</v>
      </c>
      <c r="P22" s="102">
        <f>+F22+I22+L22+O22</f>
        <v>1099735794</v>
      </c>
    </row>
    <row r="23" spans="2:16" x14ac:dyDescent="0.3">
      <c r="B23" s="94" t="s">
        <v>194</v>
      </c>
      <c r="C23" s="94" t="s">
        <v>196</v>
      </c>
      <c r="D23" s="104"/>
      <c r="E23" s="103"/>
      <c r="F23" s="102">
        <f>+(F21+F22)*30/70</f>
        <v>115828645.5</v>
      </c>
      <c r="G23" s="102"/>
      <c r="H23" s="103"/>
      <c r="I23" s="102">
        <f>+(I21+I22)*30/70</f>
        <v>126844045.71428572</v>
      </c>
      <c r="J23" s="102"/>
      <c r="K23" s="103"/>
      <c r="L23" s="102">
        <f>+(L21+L22)*30/70</f>
        <v>117228610.92857143</v>
      </c>
      <c r="M23" s="102"/>
      <c r="N23" s="103"/>
      <c r="O23" s="102">
        <f>+(O21+O22)*30/70</f>
        <v>126428249.57142857</v>
      </c>
      <c r="P23" s="102">
        <f>+F23+I23+L23+O23</f>
        <v>486329551.71428573</v>
      </c>
    </row>
    <row r="24" spans="2:16" x14ac:dyDescent="0.3">
      <c r="B24" s="95" t="s">
        <v>198</v>
      </c>
      <c r="C24" s="95"/>
      <c r="D24" s="105">
        <f>+F24/E24</f>
        <v>2850</v>
      </c>
      <c r="E24" s="106">
        <f>+E28</f>
        <v>135472.1</v>
      </c>
      <c r="F24" s="107">
        <f>+SUM(F21:F23)</f>
        <v>386095485</v>
      </c>
      <c r="G24" s="107">
        <f>+I24/H24</f>
        <v>2785.7142857142862</v>
      </c>
      <c r="H24" s="106">
        <f>+H28</f>
        <v>151779.19999999998</v>
      </c>
      <c r="I24" s="107">
        <f>+SUM(I21:I23)</f>
        <v>422813485.71428573</v>
      </c>
      <c r="J24" s="107">
        <f>+L24/K24</f>
        <v>2721.4285714285716</v>
      </c>
      <c r="K24" s="106">
        <f>+K28</f>
        <v>143587.1</v>
      </c>
      <c r="L24" s="107">
        <f>+SUM(L21:L23)</f>
        <v>390762036.42857146</v>
      </c>
      <c r="M24" s="107">
        <f>+O24/N24</f>
        <v>2753.5714285714284</v>
      </c>
      <c r="N24" s="106">
        <f>+N28</f>
        <v>153047.6</v>
      </c>
      <c r="O24" s="107">
        <f>+SUM(O21:O23)</f>
        <v>421427498.57142854</v>
      </c>
      <c r="P24" s="107">
        <f>+F24+I24+L24+O24</f>
        <v>1621098505.7142856</v>
      </c>
    </row>
    <row r="25" spans="2:16" x14ac:dyDescent="0.3">
      <c r="B25" s="94" t="s">
        <v>199</v>
      </c>
      <c r="C25" s="94" t="s">
        <v>180</v>
      </c>
      <c r="D25" s="94"/>
      <c r="E25" s="103">
        <v>30000</v>
      </c>
      <c r="F25" s="94"/>
      <c r="G25" s="94"/>
      <c r="H25" s="103">
        <f>+E27</f>
        <v>14532.1</v>
      </c>
      <c r="I25" s="94"/>
      <c r="J25" s="94"/>
      <c r="K25" s="103">
        <f>+H27</f>
        <v>13760.300000000001</v>
      </c>
      <c r="L25" s="94"/>
      <c r="M25" s="94"/>
      <c r="N25" s="103">
        <f>+K27</f>
        <v>12961.400000000001</v>
      </c>
      <c r="O25" s="94"/>
      <c r="P25" s="108"/>
    </row>
    <row r="26" spans="2:16" x14ac:dyDescent="0.3">
      <c r="B26" s="94" t="s">
        <v>200</v>
      </c>
      <c r="C26" s="94" t="s">
        <v>180</v>
      </c>
      <c r="D26" s="94"/>
      <c r="E26" s="103">
        <f>+E8</f>
        <v>150940</v>
      </c>
      <c r="F26" s="94"/>
      <c r="G26" s="94"/>
      <c r="H26" s="103">
        <f>+H8</f>
        <v>152551</v>
      </c>
      <c r="I26" s="94"/>
      <c r="J26" s="94"/>
      <c r="K26" s="103">
        <f>+K8</f>
        <v>144386</v>
      </c>
      <c r="L26" s="94"/>
      <c r="M26" s="94"/>
      <c r="N26" s="103">
        <f>+N8</f>
        <v>136009</v>
      </c>
      <c r="O26" s="94"/>
      <c r="P26" s="108"/>
    </row>
    <row r="27" spans="2:16" x14ac:dyDescent="0.3">
      <c r="B27" s="94" t="s">
        <v>201</v>
      </c>
      <c r="C27" s="94" t="s">
        <v>180</v>
      </c>
      <c r="D27" s="94"/>
      <c r="E27" s="103">
        <f>+D43*0.1</f>
        <v>14532.1</v>
      </c>
      <c r="F27" s="94"/>
      <c r="G27" s="94"/>
      <c r="H27" s="103">
        <f>+E43*0.1</f>
        <v>13760.300000000001</v>
      </c>
      <c r="I27" s="94"/>
      <c r="J27" s="94"/>
      <c r="K27" s="103">
        <f>+F43*0.1</f>
        <v>12961.400000000001</v>
      </c>
      <c r="L27" s="94"/>
      <c r="M27" s="94"/>
      <c r="N27" s="103">
        <v>30000</v>
      </c>
      <c r="O27" s="94"/>
      <c r="P27" s="108"/>
    </row>
    <row r="28" spans="2:16" x14ac:dyDescent="0.3">
      <c r="B28" s="95" t="s">
        <v>202</v>
      </c>
      <c r="C28" s="95" t="s">
        <v>180</v>
      </c>
      <c r="D28" s="95"/>
      <c r="E28" s="106">
        <f>+E27+E26-E25</f>
        <v>135472.1</v>
      </c>
      <c r="F28" s="95"/>
      <c r="G28" s="95"/>
      <c r="H28" s="106">
        <f>+H27+H26-H25</f>
        <v>151779.19999999998</v>
      </c>
      <c r="I28" s="95"/>
      <c r="J28" s="95"/>
      <c r="K28" s="106">
        <f>+K27+K26-K25</f>
        <v>143587.1</v>
      </c>
      <c r="L28" s="95"/>
      <c r="M28" s="95"/>
      <c r="N28" s="106">
        <f>+N27+N26-N25</f>
        <v>153047.6</v>
      </c>
      <c r="O28" s="95"/>
      <c r="P28" s="109">
        <f>+E28+H28+K28+N28</f>
        <v>583886</v>
      </c>
    </row>
    <row r="30" spans="2:16" x14ac:dyDescent="0.3">
      <c r="B30" s="96" t="s">
        <v>275</v>
      </c>
    </row>
    <row r="31" spans="2:16" x14ac:dyDescent="0.3">
      <c r="B31" s="64" t="s">
        <v>245</v>
      </c>
    </row>
    <row r="32" spans="2:16" x14ac:dyDescent="0.3">
      <c r="B32" s="64" t="s">
        <v>243</v>
      </c>
    </row>
    <row r="33" spans="2:13" x14ac:dyDescent="0.3">
      <c r="B33" s="64" t="s">
        <v>244</v>
      </c>
    </row>
    <row r="34" spans="2:13" x14ac:dyDescent="0.3">
      <c r="B34" s="64" t="s">
        <v>203</v>
      </c>
    </row>
    <row r="35" spans="2:13" x14ac:dyDescent="0.3">
      <c r="B35" s="64" t="s">
        <v>276</v>
      </c>
    </row>
    <row r="36" spans="2:13" x14ac:dyDescent="0.3">
      <c r="B36" s="64" t="s">
        <v>204</v>
      </c>
    </row>
    <row r="37" spans="2:13" x14ac:dyDescent="0.3">
      <c r="B37" s="64" t="s">
        <v>205</v>
      </c>
      <c r="L37" s="58"/>
      <c r="M37" s="58"/>
    </row>
    <row r="38" spans="2:13" x14ac:dyDescent="0.3">
      <c r="B38" s="64" t="s">
        <v>277</v>
      </c>
    </row>
    <row r="39" spans="2:13" x14ac:dyDescent="0.3">
      <c r="B39" s="60" t="s">
        <v>173</v>
      </c>
      <c r="C39" s="60" t="s">
        <v>192</v>
      </c>
      <c r="D39" s="68">
        <v>0.1</v>
      </c>
      <c r="E39" s="68"/>
      <c r="F39" s="60" t="s">
        <v>193</v>
      </c>
      <c r="G39" s="68">
        <v>0.6</v>
      </c>
      <c r="H39" s="60" t="s">
        <v>194</v>
      </c>
      <c r="I39" s="60"/>
      <c r="J39" s="68">
        <v>0.3</v>
      </c>
    </row>
    <row r="40" spans="2:13" x14ac:dyDescent="0.3">
      <c r="B40" s="64" t="s">
        <v>279</v>
      </c>
    </row>
    <row r="41" spans="2:13" x14ac:dyDescent="0.3">
      <c r="B41" t="s">
        <v>181</v>
      </c>
    </row>
    <row r="42" spans="2:13" x14ac:dyDescent="0.3">
      <c r="B42" s="59" t="s">
        <v>158</v>
      </c>
      <c r="C42" s="59" t="s">
        <v>160</v>
      </c>
      <c r="D42" s="59" t="s">
        <v>161</v>
      </c>
      <c r="E42" s="59" t="s">
        <v>162</v>
      </c>
      <c r="F42" s="59" t="s">
        <v>163</v>
      </c>
      <c r="G42" s="59" t="s">
        <v>176</v>
      </c>
    </row>
    <row r="43" spans="2:13" x14ac:dyDescent="0.3">
      <c r="B43" s="65" t="s">
        <v>182</v>
      </c>
      <c r="C43" s="97">
        <v>143787</v>
      </c>
      <c r="D43" s="97">
        <v>145321</v>
      </c>
      <c r="E43" s="97">
        <v>137603</v>
      </c>
      <c r="F43" s="97">
        <v>129614</v>
      </c>
      <c r="G43" s="97">
        <v>556328</v>
      </c>
    </row>
    <row r="44" spans="2:13" x14ac:dyDescent="0.3">
      <c r="B44" t="s">
        <v>278</v>
      </c>
    </row>
    <row r="45" spans="2:13" x14ac:dyDescent="0.3">
      <c r="B45" t="s">
        <v>190</v>
      </c>
    </row>
    <row r="46" spans="2:13" x14ac:dyDescent="0.3">
      <c r="B46" t="s">
        <v>191</v>
      </c>
      <c r="D46">
        <v>0.05</v>
      </c>
    </row>
    <row r="47" spans="2:13" x14ac:dyDescent="0.3">
      <c r="B47" s="59" t="s">
        <v>158</v>
      </c>
      <c r="C47" s="59" t="s">
        <v>160</v>
      </c>
      <c r="D47" s="59" t="s">
        <v>161</v>
      </c>
      <c r="E47" s="59" t="s">
        <v>162</v>
      </c>
      <c r="F47" s="59" t="s">
        <v>163</v>
      </c>
      <c r="G47" s="59" t="s">
        <v>176</v>
      </c>
    </row>
    <row r="48" spans="2:13" x14ac:dyDescent="0.3">
      <c r="B48" s="65" t="s">
        <v>182</v>
      </c>
      <c r="C48" s="97">
        <v>131250</v>
      </c>
      <c r="D48" s="97">
        <v>132649</v>
      </c>
      <c r="E48" s="97">
        <v>125604</v>
      </c>
      <c r="F48" s="97">
        <v>194638</v>
      </c>
      <c r="G48" s="97">
        <f>+SUM(C48:F48)</f>
        <v>584141</v>
      </c>
    </row>
    <row r="50" spans="2:2" x14ac:dyDescent="0.3">
      <c r="B50" t="s">
        <v>280</v>
      </c>
    </row>
    <row r="51" spans="2:2" x14ac:dyDescent="0.3">
      <c r="B51" t="s">
        <v>281</v>
      </c>
    </row>
    <row r="52" spans="2:2" x14ac:dyDescent="0.3">
      <c r="B52" t="s">
        <v>282</v>
      </c>
    </row>
    <row r="53" spans="2:2" x14ac:dyDescent="0.3">
      <c r="B53" t="s">
        <v>283</v>
      </c>
    </row>
    <row r="54" spans="2:2" x14ac:dyDescent="0.3">
      <c r="B54" t="s">
        <v>284</v>
      </c>
    </row>
    <row r="55" spans="2:2" x14ac:dyDescent="0.3">
      <c r="B55" t="s">
        <v>285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67846-567C-47D4-80C5-150456E33EF3}">
  <dimension ref="B2:G64"/>
  <sheetViews>
    <sheetView showGridLines="0" topLeftCell="A40" zoomScale="90" zoomScaleNormal="90" workbookViewId="0">
      <selection activeCell="C8" sqref="C8"/>
    </sheetView>
  </sheetViews>
  <sheetFormatPr baseColWidth="10" defaultRowHeight="14.4" x14ac:dyDescent="0.3"/>
  <cols>
    <col min="1" max="1" width="1.88671875" customWidth="1"/>
    <col min="2" max="2" width="41.77734375" customWidth="1"/>
    <col min="7" max="7" width="14.21875" customWidth="1"/>
  </cols>
  <sheetData>
    <row r="2" spans="2:7" x14ac:dyDescent="0.3">
      <c r="B2" t="s">
        <v>207</v>
      </c>
    </row>
    <row r="3" spans="2:7" x14ac:dyDescent="0.3">
      <c r="B3" t="s">
        <v>300</v>
      </c>
    </row>
    <row r="4" spans="2:7" x14ac:dyDescent="0.3">
      <c r="B4" t="s">
        <v>286</v>
      </c>
    </row>
    <row r="5" spans="2:7" x14ac:dyDescent="0.3">
      <c r="B5" t="s">
        <v>287</v>
      </c>
    </row>
    <row r="7" spans="2:7" x14ac:dyDescent="0.3">
      <c r="B7" s="59" t="s">
        <v>158</v>
      </c>
      <c r="C7" s="59" t="s">
        <v>160</v>
      </c>
      <c r="D7" s="59" t="s">
        <v>161</v>
      </c>
      <c r="E7" s="59" t="s">
        <v>162</v>
      </c>
      <c r="F7" s="59" t="s">
        <v>163</v>
      </c>
      <c r="G7" s="59" t="s">
        <v>304</v>
      </c>
    </row>
    <row r="8" spans="2:7" x14ac:dyDescent="0.3">
      <c r="B8" t="s">
        <v>208</v>
      </c>
      <c r="C8" s="69">
        <v>2341</v>
      </c>
      <c r="D8" s="69">
        <f>2341*7/6</f>
        <v>2731.1666666666665</v>
      </c>
      <c r="E8" s="69">
        <v>2341</v>
      </c>
      <c r="F8" s="69">
        <f>2341*7/6</f>
        <v>2731.1666666666665</v>
      </c>
      <c r="G8" s="69">
        <f>+SUM(C8:F8)</f>
        <v>10144.333333333332</v>
      </c>
    </row>
    <row r="9" spans="2:7" x14ac:dyDescent="0.3">
      <c r="B9" t="s">
        <v>209</v>
      </c>
      <c r="C9" s="69">
        <v>1147</v>
      </c>
      <c r="D9" s="69">
        <v>1147</v>
      </c>
      <c r="E9" s="69">
        <v>1147</v>
      </c>
      <c r="F9" s="69">
        <v>1147</v>
      </c>
      <c r="G9" s="69">
        <f t="shared" ref="G9:G13" si="0">+SUM(C9:F9)</f>
        <v>4588</v>
      </c>
    </row>
    <row r="10" spans="2:7" x14ac:dyDescent="0.3">
      <c r="B10" t="s">
        <v>210</v>
      </c>
      <c r="C10" s="69">
        <v>1299</v>
      </c>
      <c r="D10" s="69">
        <v>1299</v>
      </c>
      <c r="E10" s="69">
        <v>1299</v>
      </c>
      <c r="F10" s="69">
        <v>1299</v>
      </c>
      <c r="G10" s="69">
        <f t="shared" si="0"/>
        <v>5196</v>
      </c>
    </row>
    <row r="11" spans="2:7" x14ac:dyDescent="0.3">
      <c r="B11" t="s">
        <v>211</v>
      </c>
      <c r="C11" s="69">
        <v>195</v>
      </c>
      <c r="D11" s="69">
        <v>195</v>
      </c>
      <c r="E11" s="69">
        <v>195</v>
      </c>
      <c r="F11" s="69">
        <v>195</v>
      </c>
      <c r="G11" s="69">
        <f t="shared" si="0"/>
        <v>780</v>
      </c>
    </row>
    <row r="12" spans="2:7" ht="28.8" x14ac:dyDescent="0.3">
      <c r="B12" s="108" t="s">
        <v>212</v>
      </c>
      <c r="C12" s="69">
        <v>70</v>
      </c>
      <c r="D12" s="69">
        <v>70</v>
      </c>
      <c r="E12" s="69">
        <v>70</v>
      </c>
      <c r="F12" s="69">
        <v>70</v>
      </c>
      <c r="G12" s="69">
        <f t="shared" si="0"/>
        <v>280</v>
      </c>
    </row>
    <row r="13" spans="2:7" x14ac:dyDescent="0.3">
      <c r="B13" s="66" t="s">
        <v>213</v>
      </c>
      <c r="C13" s="99">
        <f>+SUM(C8:C12)</f>
        <v>5052</v>
      </c>
      <c r="D13" s="99">
        <f t="shared" ref="D13:F13" si="1">+SUM(D8:D12)</f>
        <v>5442.1666666666661</v>
      </c>
      <c r="E13" s="99">
        <f t="shared" si="1"/>
        <v>5052</v>
      </c>
      <c r="F13" s="99">
        <f t="shared" si="1"/>
        <v>5442.1666666666661</v>
      </c>
      <c r="G13" s="99">
        <f t="shared" si="0"/>
        <v>20988.333333333332</v>
      </c>
    </row>
    <row r="15" spans="2:7" x14ac:dyDescent="0.3">
      <c r="B15" t="s">
        <v>288</v>
      </c>
    </row>
    <row r="16" spans="2:7" x14ac:dyDescent="0.3">
      <c r="B16" t="s">
        <v>289</v>
      </c>
    </row>
    <row r="18" spans="2:7" x14ac:dyDescent="0.3">
      <c r="B18" s="59" t="s">
        <v>158</v>
      </c>
      <c r="C18" s="59" t="s">
        <v>160</v>
      </c>
      <c r="D18" s="59" t="s">
        <v>161</v>
      </c>
      <c r="E18" s="59" t="s">
        <v>162</v>
      </c>
      <c r="F18" s="59" t="s">
        <v>163</v>
      </c>
      <c r="G18" s="59" t="s">
        <v>304</v>
      </c>
    </row>
    <row r="19" spans="2:7" x14ac:dyDescent="0.3">
      <c r="B19" t="s">
        <v>215</v>
      </c>
      <c r="C19" s="69">
        <v>5466</v>
      </c>
      <c r="D19" s="69">
        <f>5466*7/6</f>
        <v>6377</v>
      </c>
      <c r="E19" s="69">
        <v>5466</v>
      </c>
      <c r="F19" s="69">
        <f>5466*7/6</f>
        <v>6377</v>
      </c>
      <c r="G19" s="69">
        <f>+SUM(C19:F19)</f>
        <v>23686</v>
      </c>
    </row>
    <row r="20" spans="2:7" x14ac:dyDescent="0.3">
      <c r="B20" t="s">
        <v>210</v>
      </c>
      <c r="C20" s="69">
        <v>4299</v>
      </c>
      <c r="D20" s="69">
        <v>4299</v>
      </c>
      <c r="E20" s="69">
        <v>4299</v>
      </c>
      <c r="F20" s="69">
        <v>4299</v>
      </c>
      <c r="G20" s="69">
        <f t="shared" ref="G20:G30" si="2">+SUM(C20:F20)</f>
        <v>17196</v>
      </c>
    </row>
    <row r="21" spans="2:7" x14ac:dyDescent="0.3">
      <c r="B21" t="s">
        <v>216</v>
      </c>
      <c r="C21" s="69">
        <v>675</v>
      </c>
      <c r="D21" s="69">
        <v>675</v>
      </c>
      <c r="E21" s="69">
        <v>675</v>
      </c>
      <c r="F21" s="69">
        <v>675</v>
      </c>
      <c r="G21" s="69">
        <f t="shared" si="2"/>
        <v>2700</v>
      </c>
    </row>
    <row r="22" spans="2:7" x14ac:dyDescent="0.3">
      <c r="B22" t="s">
        <v>211</v>
      </c>
      <c r="C22" s="69">
        <v>438</v>
      </c>
      <c r="D22" s="69">
        <v>438</v>
      </c>
      <c r="E22" s="69">
        <v>438</v>
      </c>
      <c r="F22" s="69">
        <v>438</v>
      </c>
      <c r="G22" s="69">
        <f t="shared" si="2"/>
        <v>1752</v>
      </c>
    </row>
    <row r="23" spans="2:7" x14ac:dyDescent="0.3">
      <c r="B23" t="s">
        <v>217</v>
      </c>
      <c r="C23" s="69">
        <v>14</v>
      </c>
      <c r="D23" s="69">
        <v>14</v>
      </c>
      <c r="E23" s="69">
        <v>14</v>
      </c>
      <c r="F23" s="69">
        <v>14</v>
      </c>
      <c r="G23" s="69">
        <f t="shared" si="2"/>
        <v>56</v>
      </c>
    </row>
    <row r="24" spans="2:7" x14ac:dyDescent="0.3">
      <c r="B24" t="s">
        <v>218</v>
      </c>
      <c r="C24" s="69">
        <v>222</v>
      </c>
      <c r="D24" s="69">
        <v>222</v>
      </c>
      <c r="E24" s="69">
        <v>222</v>
      </c>
      <c r="F24" s="69">
        <v>222</v>
      </c>
      <c r="G24" s="69">
        <f t="shared" si="2"/>
        <v>888</v>
      </c>
    </row>
    <row r="25" spans="2:7" x14ac:dyDescent="0.3">
      <c r="B25" t="s">
        <v>219</v>
      </c>
      <c r="C25" s="69">
        <v>128</v>
      </c>
      <c r="D25" s="69">
        <v>128</v>
      </c>
      <c r="E25" s="69">
        <v>128</v>
      </c>
      <c r="F25" s="69">
        <v>128</v>
      </c>
      <c r="G25" s="69">
        <f t="shared" si="2"/>
        <v>512</v>
      </c>
    </row>
    <row r="26" spans="2:7" x14ac:dyDescent="0.3">
      <c r="B26" t="s">
        <v>220</v>
      </c>
      <c r="C26" s="69">
        <v>104</v>
      </c>
      <c r="D26" s="69">
        <v>104</v>
      </c>
      <c r="E26" s="69">
        <v>104</v>
      </c>
      <c r="F26" s="69">
        <v>104</v>
      </c>
      <c r="G26" s="69">
        <f t="shared" si="2"/>
        <v>416</v>
      </c>
    </row>
    <row r="27" spans="2:7" x14ac:dyDescent="0.3">
      <c r="B27" t="s">
        <v>221</v>
      </c>
      <c r="C27" s="69">
        <v>100</v>
      </c>
      <c r="D27" s="69">
        <v>100</v>
      </c>
      <c r="E27" s="69">
        <v>100</v>
      </c>
      <c r="F27" s="69">
        <v>100</v>
      </c>
      <c r="G27" s="69">
        <f t="shared" si="2"/>
        <v>400</v>
      </c>
    </row>
    <row r="28" spans="2:7" x14ac:dyDescent="0.3">
      <c r="B28" t="s">
        <v>222</v>
      </c>
      <c r="C28" s="69">
        <v>28</v>
      </c>
      <c r="D28" s="69">
        <v>28</v>
      </c>
      <c r="E28" s="69">
        <v>28</v>
      </c>
      <c r="F28" s="69">
        <v>28</v>
      </c>
      <c r="G28" s="69">
        <f t="shared" si="2"/>
        <v>112</v>
      </c>
    </row>
    <row r="29" spans="2:7" x14ac:dyDescent="0.3">
      <c r="B29" t="s">
        <v>197</v>
      </c>
      <c r="C29" s="69">
        <v>249</v>
      </c>
      <c r="D29" s="69">
        <v>249</v>
      </c>
      <c r="E29" s="69">
        <v>249</v>
      </c>
      <c r="F29" s="69">
        <v>249</v>
      </c>
      <c r="G29" s="69">
        <f t="shared" si="2"/>
        <v>996</v>
      </c>
    </row>
    <row r="30" spans="2:7" x14ac:dyDescent="0.3">
      <c r="B30" s="66" t="s">
        <v>213</v>
      </c>
      <c r="C30" s="99">
        <f>+SUM(C19:C29)</f>
        <v>11723</v>
      </c>
      <c r="D30" s="99">
        <f t="shared" ref="D30:F30" si="3">+SUM(D19:D29)</f>
        <v>12634</v>
      </c>
      <c r="E30" s="99">
        <f t="shared" si="3"/>
        <v>11723</v>
      </c>
      <c r="F30" s="99">
        <f t="shared" si="3"/>
        <v>12634</v>
      </c>
      <c r="G30" s="99">
        <f t="shared" si="2"/>
        <v>48714</v>
      </c>
    </row>
    <row r="32" spans="2:7" x14ac:dyDescent="0.3">
      <c r="B32" t="s">
        <v>290</v>
      </c>
    </row>
    <row r="33" spans="2:7" x14ac:dyDescent="0.3">
      <c r="B33" t="s">
        <v>291</v>
      </c>
    </row>
    <row r="35" spans="2:7" x14ac:dyDescent="0.3">
      <c r="B35" s="59" t="s">
        <v>158</v>
      </c>
      <c r="C35" s="59" t="s">
        <v>160</v>
      </c>
      <c r="D35" s="59" t="s">
        <v>161</v>
      </c>
      <c r="E35" s="59" t="s">
        <v>162</v>
      </c>
      <c r="F35" s="59" t="s">
        <v>163</v>
      </c>
      <c r="G35" s="59" t="s">
        <v>304</v>
      </c>
    </row>
    <row r="36" spans="2:7" x14ac:dyDescent="0.3">
      <c r="B36" s="65" t="s">
        <v>230</v>
      </c>
      <c r="C36" s="98">
        <v>1551</v>
      </c>
      <c r="D36" s="98">
        <v>1551</v>
      </c>
      <c r="E36" s="98">
        <v>1551</v>
      </c>
      <c r="F36" s="98">
        <v>1551</v>
      </c>
      <c r="G36" s="110">
        <f>+SUM(C36:F36)</f>
        <v>6204</v>
      </c>
    </row>
    <row r="37" spans="2:7" x14ac:dyDescent="0.3">
      <c r="B37" s="87" t="s">
        <v>292</v>
      </c>
      <c r="G37" s="63"/>
    </row>
    <row r="38" spans="2:7" x14ac:dyDescent="0.3">
      <c r="G38" s="63"/>
    </row>
    <row r="39" spans="2:7" x14ac:dyDescent="0.3">
      <c r="G39" s="63"/>
    </row>
    <row r="40" spans="2:7" x14ac:dyDescent="0.3">
      <c r="B40" t="s">
        <v>294</v>
      </c>
      <c r="G40" s="63"/>
    </row>
    <row r="41" spans="2:7" x14ac:dyDescent="0.3">
      <c r="B41" t="s">
        <v>297</v>
      </c>
      <c r="G41" s="63"/>
    </row>
    <row r="42" spans="2:7" x14ac:dyDescent="0.3">
      <c r="G42" s="63"/>
    </row>
    <row r="43" spans="2:7" x14ac:dyDescent="0.3">
      <c r="B43" s="59" t="s">
        <v>158</v>
      </c>
      <c r="C43" s="59" t="s">
        <v>160</v>
      </c>
      <c r="D43" s="59" t="s">
        <v>161</v>
      </c>
      <c r="E43" s="59" t="s">
        <v>162</v>
      </c>
      <c r="F43" s="59" t="s">
        <v>163</v>
      </c>
      <c r="G43" s="59" t="s">
        <v>304</v>
      </c>
    </row>
    <row r="44" spans="2:7" x14ac:dyDescent="0.3">
      <c r="B44" s="65" t="s">
        <v>231</v>
      </c>
      <c r="C44" s="98">
        <v>1010</v>
      </c>
      <c r="D44" s="98">
        <v>1010</v>
      </c>
      <c r="E44" s="98">
        <v>1010</v>
      </c>
      <c r="F44" s="98">
        <v>1010</v>
      </c>
      <c r="G44" s="110">
        <f>+SUM(C44:F44)</f>
        <v>4040</v>
      </c>
    </row>
    <row r="45" spans="2:7" x14ac:dyDescent="0.3">
      <c r="B45" s="87" t="s">
        <v>293</v>
      </c>
      <c r="G45" s="63"/>
    </row>
    <row r="46" spans="2:7" x14ac:dyDescent="0.3">
      <c r="G46" s="63"/>
    </row>
    <row r="47" spans="2:7" x14ac:dyDescent="0.3">
      <c r="G47" s="63"/>
    </row>
    <row r="48" spans="2:7" x14ac:dyDescent="0.3">
      <c r="B48" t="s">
        <v>295</v>
      </c>
      <c r="G48" s="63"/>
    </row>
    <row r="49" spans="2:7" x14ac:dyDescent="0.3">
      <c r="B49" t="s">
        <v>298</v>
      </c>
      <c r="G49" s="63"/>
    </row>
    <row r="50" spans="2:7" x14ac:dyDescent="0.3">
      <c r="G50" s="63"/>
    </row>
    <row r="51" spans="2:7" x14ac:dyDescent="0.3">
      <c r="B51" s="59" t="s">
        <v>158</v>
      </c>
      <c r="C51" s="59" t="s">
        <v>160</v>
      </c>
      <c r="D51" s="59" t="s">
        <v>161</v>
      </c>
      <c r="E51" s="59" t="s">
        <v>162</v>
      </c>
      <c r="F51" s="59" t="s">
        <v>163</v>
      </c>
      <c r="G51" s="59" t="s">
        <v>304</v>
      </c>
    </row>
    <row r="52" spans="2:7" x14ac:dyDescent="0.3">
      <c r="B52" t="s">
        <v>224</v>
      </c>
      <c r="C52" s="69">
        <v>988</v>
      </c>
      <c r="D52" s="69">
        <v>988</v>
      </c>
      <c r="E52" s="69">
        <v>988</v>
      </c>
      <c r="F52" s="69">
        <v>988</v>
      </c>
      <c r="G52" s="111">
        <f t="shared" ref="G52:G55" si="4">+SUM(C52:F52)</f>
        <v>3952</v>
      </c>
    </row>
    <row r="53" spans="2:7" x14ac:dyDescent="0.3">
      <c r="B53" t="s">
        <v>225</v>
      </c>
      <c r="C53" s="69">
        <v>35</v>
      </c>
      <c r="D53" s="69">
        <v>35</v>
      </c>
      <c r="E53" s="69">
        <v>35</v>
      </c>
      <c r="F53" s="69">
        <v>35</v>
      </c>
      <c r="G53" s="111">
        <f t="shared" si="4"/>
        <v>140</v>
      </c>
    </row>
    <row r="54" spans="2:7" x14ac:dyDescent="0.3">
      <c r="B54" t="s">
        <v>226</v>
      </c>
      <c r="C54" s="69">
        <v>56</v>
      </c>
      <c r="D54" s="69">
        <v>56</v>
      </c>
      <c r="E54" s="69">
        <v>56</v>
      </c>
      <c r="F54" s="69">
        <v>56</v>
      </c>
      <c r="G54" s="111">
        <f t="shared" si="4"/>
        <v>224</v>
      </c>
    </row>
    <row r="55" spans="2:7" x14ac:dyDescent="0.3">
      <c r="B55" s="66" t="s">
        <v>213</v>
      </c>
      <c r="C55" s="99">
        <f>+SUM(C40:C54)</f>
        <v>2089</v>
      </c>
      <c r="D55" s="99">
        <f t="shared" ref="D55" si="5">+SUM(D40:D54)</f>
        <v>2089</v>
      </c>
      <c r="E55" s="99">
        <f t="shared" ref="E55" si="6">+SUM(E40:E54)</f>
        <v>2089</v>
      </c>
      <c r="F55" s="99">
        <f t="shared" ref="F55" si="7">+SUM(F40:F54)</f>
        <v>2089</v>
      </c>
      <c r="G55" s="112">
        <f t="shared" si="4"/>
        <v>8356</v>
      </c>
    </row>
    <row r="56" spans="2:7" x14ac:dyDescent="0.3">
      <c r="G56" s="63"/>
    </row>
    <row r="57" spans="2:7" x14ac:dyDescent="0.3">
      <c r="B57" t="s">
        <v>296</v>
      </c>
      <c r="G57" s="63"/>
    </row>
    <row r="58" spans="2:7" x14ac:dyDescent="0.3">
      <c r="B58" t="s">
        <v>299</v>
      </c>
      <c r="G58" s="63"/>
    </row>
    <row r="59" spans="2:7" x14ac:dyDescent="0.3">
      <c r="G59" s="63"/>
    </row>
    <row r="60" spans="2:7" x14ac:dyDescent="0.3">
      <c r="B60" s="59" t="s">
        <v>158</v>
      </c>
      <c r="C60" s="59" t="s">
        <v>160</v>
      </c>
      <c r="D60" s="59" t="s">
        <v>161</v>
      </c>
      <c r="E60" s="59" t="s">
        <v>162</v>
      </c>
      <c r="F60" s="59" t="s">
        <v>163</v>
      </c>
      <c r="G60" s="59" t="s">
        <v>304</v>
      </c>
    </row>
    <row r="61" spans="2:7" x14ac:dyDescent="0.3">
      <c r="B61" t="s">
        <v>227</v>
      </c>
      <c r="C61" s="69">
        <v>139</v>
      </c>
      <c r="D61" s="69">
        <v>139</v>
      </c>
      <c r="E61" s="69">
        <v>139</v>
      </c>
      <c r="F61" s="69">
        <v>139</v>
      </c>
      <c r="G61" s="111">
        <f t="shared" ref="G61:G64" si="8">+SUM(C61:F61)</f>
        <v>556</v>
      </c>
    </row>
    <row r="62" spans="2:7" x14ac:dyDescent="0.3">
      <c r="B62" t="s">
        <v>228</v>
      </c>
      <c r="C62" s="69">
        <v>5474</v>
      </c>
      <c r="D62" s="69">
        <v>5474</v>
      </c>
      <c r="E62" s="69">
        <v>5474</v>
      </c>
      <c r="F62" s="69">
        <v>5474</v>
      </c>
      <c r="G62" s="111">
        <f t="shared" si="8"/>
        <v>21896</v>
      </c>
    </row>
    <row r="63" spans="2:7" x14ac:dyDescent="0.3">
      <c r="B63" t="s">
        <v>229</v>
      </c>
      <c r="C63" s="69">
        <v>937</v>
      </c>
      <c r="D63" s="69">
        <v>937</v>
      </c>
      <c r="E63" s="69">
        <v>937</v>
      </c>
      <c r="F63" s="69">
        <v>937</v>
      </c>
      <c r="G63" s="111">
        <f t="shared" si="8"/>
        <v>3748</v>
      </c>
    </row>
    <row r="64" spans="2:7" x14ac:dyDescent="0.3">
      <c r="B64" s="66" t="s">
        <v>213</v>
      </c>
      <c r="C64" s="99">
        <f>+SUM(C51:C63)</f>
        <v>9718</v>
      </c>
      <c r="D64" s="99">
        <f t="shared" ref="D64" si="9">+SUM(D51:D63)</f>
        <v>9718</v>
      </c>
      <c r="E64" s="99">
        <f t="shared" ref="E64" si="10">+SUM(E51:E63)</f>
        <v>9718</v>
      </c>
      <c r="F64" s="99">
        <f t="shared" ref="F64" si="11">+SUM(F51:F63)</f>
        <v>9718</v>
      </c>
      <c r="G64" s="112">
        <f t="shared" si="8"/>
        <v>38872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A5604-F780-45E9-8728-7FAB3CDD077B}">
  <dimension ref="B2:G62"/>
  <sheetViews>
    <sheetView showGridLines="0" workbookViewId="0">
      <selection activeCell="B4" sqref="B4:C17"/>
    </sheetView>
  </sheetViews>
  <sheetFormatPr baseColWidth="10" defaultRowHeight="14.4" x14ac:dyDescent="0.3"/>
  <cols>
    <col min="2" max="2" width="29.33203125" customWidth="1"/>
    <col min="3" max="3" width="16.44140625" customWidth="1"/>
    <col min="4" max="4" width="16.77734375" customWidth="1"/>
    <col min="5" max="5" width="16.5546875" customWidth="1"/>
    <col min="6" max="6" width="15.44140625" customWidth="1"/>
    <col min="7" max="7" width="18.21875" customWidth="1"/>
  </cols>
  <sheetData>
    <row r="2" spans="2:7" x14ac:dyDescent="0.3">
      <c r="B2" t="s">
        <v>329</v>
      </c>
    </row>
    <row r="3" spans="2:7" x14ac:dyDescent="0.3">
      <c r="B3" t="s">
        <v>330</v>
      </c>
    </row>
    <row r="4" spans="2:7" x14ac:dyDescent="0.3">
      <c r="B4" s="59" t="s">
        <v>158</v>
      </c>
      <c r="C4" s="59" t="s">
        <v>160</v>
      </c>
      <c r="D4" s="59" t="s">
        <v>161</v>
      </c>
      <c r="E4" s="59" t="s">
        <v>162</v>
      </c>
      <c r="F4" s="59" t="s">
        <v>163</v>
      </c>
      <c r="G4" s="59" t="s">
        <v>242</v>
      </c>
    </row>
    <row r="5" spans="2:7" x14ac:dyDescent="0.3">
      <c r="B5" t="s">
        <v>232</v>
      </c>
      <c r="C5" s="57">
        <f>+'Presupuesto Ventas y Producción'!F8/1000</f>
        <v>656418</v>
      </c>
      <c r="D5" s="57">
        <f>+'Presupuesto Ventas y Producción'!I8/1000</f>
        <v>662899.26</v>
      </c>
      <c r="E5" s="57">
        <f>+'Presupuesto Ventas y Producción'!L8/1000</f>
        <v>619777.19999999995</v>
      </c>
      <c r="F5" s="57">
        <f>+'Presupuesto Ventas y Producción'!O8/1000</f>
        <v>588541.80000000005</v>
      </c>
      <c r="G5" s="57">
        <f>+SUM(C5:F5)</f>
        <v>2527636.2599999998</v>
      </c>
    </row>
    <row r="6" spans="2:7" x14ac:dyDescent="0.3">
      <c r="B6" t="s">
        <v>233</v>
      </c>
      <c r="C6" s="57">
        <f>+'Presupuesto Ventas y Producción'!F24/1000</f>
        <v>386095.48499999999</v>
      </c>
      <c r="D6" s="57">
        <f>+'Presupuesto Ventas y Producción'!I24/1000</f>
        <v>422813.48571428575</v>
      </c>
      <c r="E6" s="57">
        <f>+'Presupuesto Ventas y Producción'!L24/1000</f>
        <v>390762.03642857145</v>
      </c>
      <c r="F6" s="57">
        <f>+'Presupuesto Ventas y Producción'!O24/1000</f>
        <v>421427.49857142853</v>
      </c>
      <c r="G6" s="57">
        <f>+SUM(C6:F6)</f>
        <v>1621098.5057142857</v>
      </c>
    </row>
    <row r="7" spans="2:7" x14ac:dyDescent="0.3">
      <c r="B7" s="66" t="s">
        <v>234</v>
      </c>
      <c r="C7" s="113">
        <f>+C5-C6</f>
        <v>270322.51500000001</v>
      </c>
      <c r="D7" s="113">
        <f t="shared" ref="D7:F7" si="0">+D5-D6</f>
        <v>240085.77428571426</v>
      </c>
      <c r="E7" s="113">
        <f t="shared" si="0"/>
        <v>229015.16357142851</v>
      </c>
      <c r="F7" s="113">
        <f t="shared" si="0"/>
        <v>167114.30142857152</v>
      </c>
      <c r="G7" s="113">
        <f t="shared" ref="G7:G16" si="1">+SUM(C7:F7)</f>
        <v>906537.75428571436</v>
      </c>
    </row>
    <row r="8" spans="2:7" x14ac:dyDescent="0.3">
      <c r="B8" t="s">
        <v>206</v>
      </c>
      <c r="C8" s="57">
        <f>+'Presupuesto de Gastos Generales'!C13</f>
        <v>5052</v>
      </c>
      <c r="D8" s="57">
        <f>+'Presupuesto de Gastos Generales'!D13</f>
        <v>5442.1666666666661</v>
      </c>
      <c r="E8" s="57">
        <f>+'Presupuesto de Gastos Generales'!E13</f>
        <v>5052</v>
      </c>
      <c r="F8" s="57">
        <f>+'Presupuesto de Gastos Generales'!F13</f>
        <v>5442.1666666666661</v>
      </c>
      <c r="G8" s="57">
        <f t="shared" si="1"/>
        <v>20988.333333333332</v>
      </c>
    </row>
    <row r="9" spans="2:7" x14ac:dyDescent="0.3">
      <c r="B9" t="s">
        <v>214</v>
      </c>
      <c r="C9" s="57" cm="1">
        <f t="array" ref="C9:F9">+'Presupuesto de Gastos Generales'!C30:F30</f>
        <v>11723</v>
      </c>
      <c r="D9" s="57">
        <v>12634</v>
      </c>
      <c r="E9" s="57">
        <v>11723</v>
      </c>
      <c r="F9" s="57">
        <v>12634</v>
      </c>
      <c r="G9" s="57">
        <f t="shared" si="1"/>
        <v>48714</v>
      </c>
    </row>
    <row r="10" spans="2:7" x14ac:dyDescent="0.3">
      <c r="B10" t="s">
        <v>223</v>
      </c>
      <c r="C10" s="57" cm="1">
        <f t="array" ref="C10:F10">+'Presupuesto de Gastos Generales'!C36:F36</f>
        <v>1551</v>
      </c>
      <c r="D10" s="57">
        <v>1551</v>
      </c>
      <c r="E10" s="57">
        <v>1551</v>
      </c>
      <c r="F10" s="57">
        <v>1551</v>
      </c>
      <c r="G10" s="57">
        <f t="shared" si="1"/>
        <v>6204</v>
      </c>
    </row>
    <row r="11" spans="2:7" x14ac:dyDescent="0.3">
      <c r="B11" t="s">
        <v>235</v>
      </c>
      <c r="C11" s="57" cm="1">
        <f t="array" ref="C11:F11">+'Presupuesto de Gastos Generales'!C44:F44</f>
        <v>1010</v>
      </c>
      <c r="D11" s="57">
        <v>1010</v>
      </c>
      <c r="E11" s="57">
        <v>1010</v>
      </c>
      <c r="F11" s="57">
        <v>1010</v>
      </c>
      <c r="G11" s="57">
        <f t="shared" si="1"/>
        <v>4040</v>
      </c>
    </row>
    <row r="12" spans="2:7" x14ac:dyDescent="0.3">
      <c r="B12" s="66" t="s">
        <v>236</v>
      </c>
      <c r="C12" s="113">
        <f>+C7-C8-C9-+C10-C11</f>
        <v>250986.51500000001</v>
      </c>
      <c r="D12" s="113">
        <f t="shared" ref="D12:F12" si="2">+D7-D8-D9-+D10-D11</f>
        <v>219448.6076190476</v>
      </c>
      <c r="E12" s="113">
        <f t="shared" si="2"/>
        <v>209679.16357142851</v>
      </c>
      <c r="F12" s="113">
        <f t="shared" si="2"/>
        <v>146477.13476190486</v>
      </c>
      <c r="G12" s="113">
        <f t="shared" si="1"/>
        <v>826591.42095238098</v>
      </c>
    </row>
    <row r="13" spans="2:7" x14ac:dyDescent="0.3">
      <c r="B13" t="s">
        <v>237</v>
      </c>
      <c r="C13" s="57" cm="1">
        <f t="array" ref="C13:F13">+'Presupuesto de Gastos Generales'!C55:F55</f>
        <v>2089</v>
      </c>
      <c r="D13" s="57">
        <v>2089</v>
      </c>
      <c r="E13" s="57">
        <v>2089</v>
      </c>
      <c r="F13" s="57">
        <v>2089</v>
      </c>
      <c r="G13" s="57">
        <f t="shared" si="1"/>
        <v>8356</v>
      </c>
    </row>
    <row r="14" spans="2:7" x14ac:dyDescent="0.3">
      <c r="B14" t="s">
        <v>238</v>
      </c>
      <c r="C14" s="57" cm="1">
        <f t="array" ref="C14:F14">+'Presupuesto de Gastos Generales'!C64:F64</f>
        <v>9718</v>
      </c>
      <c r="D14" s="57">
        <v>9718</v>
      </c>
      <c r="E14" s="57">
        <v>9718</v>
      </c>
      <c r="F14" s="57">
        <v>9718</v>
      </c>
      <c r="G14" s="57">
        <f t="shared" si="1"/>
        <v>38872</v>
      </c>
    </row>
    <row r="15" spans="2:7" x14ac:dyDescent="0.3">
      <c r="B15" s="66" t="s">
        <v>239</v>
      </c>
      <c r="C15" s="113">
        <f>+C12+C13-C14</f>
        <v>243357.51500000001</v>
      </c>
      <c r="D15" s="113">
        <f t="shared" ref="D15:F15" si="3">+D12+D13-D14</f>
        <v>211819.6076190476</v>
      </c>
      <c r="E15" s="113">
        <f t="shared" si="3"/>
        <v>202050.16357142851</v>
      </c>
      <c r="F15" s="113">
        <f t="shared" si="3"/>
        <v>138848.13476190486</v>
      </c>
      <c r="G15" s="113">
        <f t="shared" si="1"/>
        <v>796075.42095238098</v>
      </c>
    </row>
    <row r="16" spans="2:7" x14ac:dyDescent="0.3">
      <c r="B16" t="s">
        <v>240</v>
      </c>
      <c r="C16" s="57">
        <f>+C15*(0.295)</f>
        <v>71790.466925000001</v>
      </c>
      <c r="D16" s="57">
        <f t="shared" ref="D16:F16" si="4">+D15*(0.295)</f>
        <v>62486.784247619042</v>
      </c>
      <c r="E16" s="57">
        <f t="shared" si="4"/>
        <v>59604.798253571404</v>
      </c>
      <c r="F16" s="57">
        <f t="shared" si="4"/>
        <v>40960.199754761932</v>
      </c>
      <c r="G16" s="57">
        <f t="shared" si="1"/>
        <v>234842.24918095241</v>
      </c>
    </row>
    <row r="17" spans="2:7" x14ac:dyDescent="0.3">
      <c r="B17" s="66" t="s">
        <v>241</v>
      </c>
      <c r="C17" s="113">
        <f>+C15-C16</f>
        <v>171567.048075</v>
      </c>
      <c r="D17" s="113">
        <f t="shared" ref="D17:F17" si="5">+D15-D16</f>
        <v>149332.82337142856</v>
      </c>
      <c r="E17" s="113">
        <f t="shared" si="5"/>
        <v>142445.3653178571</v>
      </c>
      <c r="F17" s="113">
        <f t="shared" si="5"/>
        <v>97887.935007142922</v>
      </c>
      <c r="G17" s="113">
        <f>+SUM(C17:F17)</f>
        <v>561233.17177142866</v>
      </c>
    </row>
    <row r="18" spans="2:7" x14ac:dyDescent="0.3">
      <c r="B18" s="87" t="s">
        <v>301</v>
      </c>
    </row>
    <row r="19" spans="2:7" x14ac:dyDescent="0.3">
      <c r="B19" s="87"/>
    </row>
    <row r="20" spans="2:7" x14ac:dyDescent="0.3">
      <c r="B20" s="87" t="s">
        <v>331</v>
      </c>
    </row>
    <row r="21" spans="2:7" x14ac:dyDescent="0.3">
      <c r="B21" s="87" t="s">
        <v>332</v>
      </c>
    </row>
    <row r="22" spans="2:7" x14ac:dyDescent="0.3">
      <c r="B22" s="59" t="s">
        <v>158</v>
      </c>
      <c r="C22" s="59" t="s">
        <v>160</v>
      </c>
      <c r="D22" s="59" t="s">
        <v>161</v>
      </c>
      <c r="E22" s="59" t="s">
        <v>162</v>
      </c>
      <c r="F22" s="59" t="s">
        <v>163</v>
      </c>
      <c r="G22" s="59" t="s">
        <v>242</v>
      </c>
    </row>
    <row r="23" spans="2:7" x14ac:dyDescent="0.3">
      <c r="B23" t="s">
        <v>305</v>
      </c>
      <c r="C23" s="57">
        <f>+C5</f>
        <v>656418</v>
      </c>
      <c r="D23" s="57">
        <f t="shared" ref="D23:G23" si="6">+D5</f>
        <v>662899.26</v>
      </c>
      <c r="E23" s="57">
        <f t="shared" si="6"/>
        <v>619777.19999999995</v>
      </c>
      <c r="F23" s="57">
        <f t="shared" si="6"/>
        <v>588541.80000000005</v>
      </c>
      <c r="G23" s="57">
        <f t="shared" si="6"/>
        <v>2527636.2599999998</v>
      </c>
    </row>
    <row r="24" spans="2:7" x14ac:dyDescent="0.3">
      <c r="B24" t="s">
        <v>306</v>
      </c>
      <c r="C24" s="57">
        <f>+C25+C26+C27-C28+C29-C30+C31</f>
        <v>409958.48499999999</v>
      </c>
      <c r="D24" s="57">
        <f t="shared" ref="D24:G24" si="7">+D25+D26+D27-D28+D29-D30+D31</f>
        <v>447977.65238095244</v>
      </c>
      <c r="E24" s="57">
        <f t="shared" si="7"/>
        <v>414625.03642857145</v>
      </c>
      <c r="F24" s="57">
        <f t="shared" si="7"/>
        <v>446591.66523809521</v>
      </c>
      <c r="G24" s="57">
        <f t="shared" si="7"/>
        <v>1719152.8390476189</v>
      </c>
    </row>
    <row r="25" spans="2:7" x14ac:dyDescent="0.3">
      <c r="B25" t="s">
        <v>307</v>
      </c>
      <c r="C25" s="57">
        <f>+C6</f>
        <v>386095.48499999999</v>
      </c>
      <c r="D25" s="57">
        <f t="shared" ref="D25:G25" si="8">+D6</f>
        <v>422813.48571428575</v>
      </c>
      <c r="E25" s="57">
        <f t="shared" si="8"/>
        <v>390762.03642857145</v>
      </c>
      <c r="F25" s="57">
        <f t="shared" si="8"/>
        <v>421427.49857142853</v>
      </c>
      <c r="G25" s="57">
        <f t="shared" si="8"/>
        <v>1621098.5057142857</v>
      </c>
    </row>
    <row r="26" spans="2:7" x14ac:dyDescent="0.3">
      <c r="B26" t="s">
        <v>308</v>
      </c>
      <c r="C26" s="57">
        <f>+C8</f>
        <v>5052</v>
      </c>
      <c r="D26" s="57">
        <f t="shared" ref="D26:G26" si="9">+D8</f>
        <v>5442.1666666666661</v>
      </c>
      <c r="E26" s="57">
        <f t="shared" si="9"/>
        <v>5052</v>
      </c>
      <c r="F26" s="57">
        <f t="shared" si="9"/>
        <v>5442.1666666666661</v>
      </c>
      <c r="G26" s="57">
        <f t="shared" si="9"/>
        <v>20988.333333333332</v>
      </c>
    </row>
    <row r="27" spans="2:7" x14ac:dyDescent="0.3">
      <c r="B27" t="s">
        <v>214</v>
      </c>
      <c r="C27" s="57">
        <f>+C9</f>
        <v>11723</v>
      </c>
      <c r="D27" s="57">
        <f t="shared" ref="D27:G27" si="10">+D9</f>
        <v>12634</v>
      </c>
      <c r="E27" s="57">
        <f t="shared" si="10"/>
        <v>11723</v>
      </c>
      <c r="F27" s="57">
        <f t="shared" si="10"/>
        <v>12634</v>
      </c>
      <c r="G27" s="57">
        <f t="shared" si="10"/>
        <v>48714</v>
      </c>
    </row>
    <row r="28" spans="2:7" x14ac:dyDescent="0.3">
      <c r="B28" t="s">
        <v>223</v>
      </c>
      <c r="C28" s="57">
        <f>+C10</f>
        <v>1551</v>
      </c>
      <c r="D28" s="57">
        <f t="shared" ref="D28:G28" si="11">+D10</f>
        <v>1551</v>
      </c>
      <c r="E28" s="57">
        <f t="shared" si="11"/>
        <v>1551</v>
      </c>
      <c r="F28" s="57">
        <f t="shared" si="11"/>
        <v>1551</v>
      </c>
      <c r="G28" s="57">
        <f t="shared" si="11"/>
        <v>6204</v>
      </c>
    </row>
    <row r="29" spans="2:7" x14ac:dyDescent="0.3">
      <c r="B29" t="s">
        <v>235</v>
      </c>
      <c r="C29" s="57">
        <f>+C11</f>
        <v>1010</v>
      </c>
      <c r="D29" s="57">
        <f t="shared" ref="D29:G29" si="12">+D11</f>
        <v>1010</v>
      </c>
      <c r="E29" s="57">
        <f t="shared" si="12"/>
        <v>1010</v>
      </c>
      <c r="F29" s="57">
        <f t="shared" si="12"/>
        <v>1010</v>
      </c>
      <c r="G29" s="57">
        <f t="shared" si="12"/>
        <v>4040</v>
      </c>
    </row>
    <row r="30" spans="2:7" x14ac:dyDescent="0.3">
      <c r="B30" t="s">
        <v>46</v>
      </c>
      <c r="C30" s="57">
        <f>+C13</f>
        <v>2089</v>
      </c>
      <c r="D30" s="57">
        <f t="shared" ref="D30:G30" si="13">+D13</f>
        <v>2089</v>
      </c>
      <c r="E30" s="57">
        <f t="shared" si="13"/>
        <v>2089</v>
      </c>
      <c r="F30" s="57">
        <f t="shared" si="13"/>
        <v>2089</v>
      </c>
      <c r="G30" s="57">
        <f t="shared" si="13"/>
        <v>8356</v>
      </c>
    </row>
    <row r="31" spans="2:7" x14ac:dyDescent="0.3">
      <c r="B31" t="s">
        <v>47</v>
      </c>
      <c r="C31" s="57">
        <f>+C14</f>
        <v>9718</v>
      </c>
      <c r="D31" s="57">
        <f t="shared" ref="D31:G31" si="14">+D14</f>
        <v>9718</v>
      </c>
      <c r="E31" s="57">
        <f t="shared" si="14"/>
        <v>9718</v>
      </c>
      <c r="F31" s="57">
        <f t="shared" si="14"/>
        <v>9718</v>
      </c>
      <c r="G31" s="57">
        <f t="shared" si="14"/>
        <v>38872</v>
      </c>
    </row>
    <row r="32" spans="2:7" x14ac:dyDescent="0.3">
      <c r="B32" s="66" t="s">
        <v>309</v>
      </c>
      <c r="C32" s="113">
        <f>+C23-C24</f>
        <v>246459.51500000001</v>
      </c>
      <c r="D32" s="113">
        <f t="shared" ref="D32:G32" si="15">+D23-D24</f>
        <v>214921.60761904757</v>
      </c>
      <c r="E32" s="113">
        <f t="shared" si="15"/>
        <v>205152.16357142851</v>
      </c>
      <c r="F32" s="113">
        <f t="shared" si="15"/>
        <v>141950.13476190483</v>
      </c>
      <c r="G32" s="113">
        <f t="shared" si="15"/>
        <v>808483.42095238087</v>
      </c>
    </row>
    <row r="33" spans="2:7" x14ac:dyDescent="0.3">
      <c r="B33" t="s">
        <v>310</v>
      </c>
      <c r="C33" s="113">
        <f>87583</f>
        <v>87583</v>
      </c>
      <c r="D33" s="57">
        <f>+C34</f>
        <v>334042.51500000001</v>
      </c>
      <c r="E33" s="57">
        <f t="shared" ref="E33:F33" si="16">+D34</f>
        <v>548964.12261904753</v>
      </c>
      <c r="F33" s="57">
        <f t="shared" si="16"/>
        <v>754116.28619047604</v>
      </c>
      <c r="G33" s="57">
        <f>+C33</f>
        <v>87583</v>
      </c>
    </row>
    <row r="34" spans="2:7" x14ac:dyDescent="0.3">
      <c r="B34" s="66" t="s">
        <v>311</v>
      </c>
      <c r="C34" s="113">
        <f>+C32+C33</f>
        <v>334042.51500000001</v>
      </c>
      <c r="D34" s="113">
        <f>+D32+D33</f>
        <v>548964.12261904753</v>
      </c>
      <c r="E34" s="113">
        <f t="shared" ref="E34:F34" si="17">+E32+E33</f>
        <v>754116.28619047604</v>
      </c>
      <c r="F34" s="113">
        <f t="shared" si="17"/>
        <v>896066.42095238087</v>
      </c>
      <c r="G34" s="57">
        <f>+F34</f>
        <v>896066.42095238087</v>
      </c>
    </row>
    <row r="36" spans="2:7" x14ac:dyDescent="0.3">
      <c r="B36" t="s">
        <v>333</v>
      </c>
    </row>
    <row r="37" spans="2:7" x14ac:dyDescent="0.3">
      <c r="B37" t="s">
        <v>334</v>
      </c>
    </row>
    <row r="39" spans="2:7" x14ac:dyDescent="0.3">
      <c r="B39" s="59" t="str">
        <f t="shared" ref="B39:G40" si="18">B22</f>
        <v>Trimestre</v>
      </c>
      <c r="C39" s="59" t="str">
        <f t="shared" si="18"/>
        <v>1T</v>
      </c>
      <c r="D39" s="59" t="str">
        <f t="shared" si="18"/>
        <v>2T</v>
      </c>
      <c r="E39" s="59" t="str">
        <f t="shared" si="18"/>
        <v>3T</v>
      </c>
      <c r="F39" s="59" t="str">
        <f t="shared" si="18"/>
        <v>4T</v>
      </c>
      <c r="G39" s="59" t="str">
        <f t="shared" si="18"/>
        <v>Anual</v>
      </c>
    </row>
    <row r="40" spans="2:7" x14ac:dyDescent="0.3">
      <c r="B40" t="str">
        <f t="shared" si="18"/>
        <v>Ingresos Operativos</v>
      </c>
      <c r="C40" s="57">
        <f t="shared" si="18"/>
        <v>656418</v>
      </c>
      <c r="D40" s="57">
        <f t="shared" si="18"/>
        <v>662899.26</v>
      </c>
      <c r="E40" s="57">
        <f t="shared" si="18"/>
        <v>619777.19999999995</v>
      </c>
      <c r="F40" s="57">
        <f t="shared" si="18"/>
        <v>588541.80000000005</v>
      </c>
      <c r="G40" s="57">
        <f t="shared" si="18"/>
        <v>2527636.2599999998</v>
      </c>
    </row>
    <row r="41" spans="2:7" x14ac:dyDescent="0.3">
      <c r="B41" t="s">
        <v>322</v>
      </c>
      <c r="C41" s="57">
        <v>50000</v>
      </c>
      <c r="D41" s="57"/>
      <c r="E41" s="57">
        <v>60000</v>
      </c>
      <c r="F41" s="57"/>
      <c r="G41" s="57">
        <f>+SUM(C41:F41)</f>
        <v>110000</v>
      </c>
    </row>
    <row r="42" spans="2:7" x14ac:dyDescent="0.3">
      <c r="B42" t="str">
        <f t="shared" ref="B42:B50" si="19">B24</f>
        <v>Egresos Operativos</v>
      </c>
      <c r="C42" s="57">
        <f>+C43+C44+C45+C46+C47+C48+C49+C51</f>
        <v>417238.48499999999</v>
      </c>
      <c r="D42" s="57">
        <f>+D43+D44+D45+D46+D47+D48+D49+D51</f>
        <v>455257.65238095244</v>
      </c>
      <c r="E42" s="57">
        <f>+E43+E44+E45+E46+E47+E48+E49+E51</f>
        <v>368405.03642857145</v>
      </c>
      <c r="F42" s="57">
        <f>+F43+F44+F45+F46+F47+F48+F49+F51</f>
        <v>453871.66523809521</v>
      </c>
      <c r="G42" s="57">
        <f t="shared" ref="G42:G49" si="20">+SUM(C42:F42)</f>
        <v>1694772.8390476191</v>
      </c>
    </row>
    <row r="43" spans="2:7" x14ac:dyDescent="0.3">
      <c r="B43" t="str">
        <f t="shared" si="19"/>
        <v>Costos de Venta</v>
      </c>
      <c r="C43" s="57">
        <f t="shared" ref="C43:F49" si="21">C25</f>
        <v>386095.48499999999</v>
      </c>
      <c r="D43" s="57">
        <f t="shared" si="21"/>
        <v>422813.48571428575</v>
      </c>
      <c r="E43" s="57">
        <f t="shared" si="21"/>
        <v>390762.03642857145</v>
      </c>
      <c r="F43" s="57">
        <f t="shared" si="21"/>
        <v>421427.49857142853</v>
      </c>
      <c r="G43" s="57">
        <f t="shared" si="20"/>
        <v>1621098.5057142857</v>
      </c>
    </row>
    <row r="44" spans="2:7" x14ac:dyDescent="0.3">
      <c r="B44" t="str">
        <f t="shared" si="19"/>
        <v>Gastos de ventas</v>
      </c>
      <c r="C44" s="57">
        <f t="shared" si="21"/>
        <v>5052</v>
      </c>
      <c r="D44" s="57">
        <f t="shared" si="21"/>
        <v>5442.1666666666661</v>
      </c>
      <c r="E44" s="57">
        <f t="shared" si="21"/>
        <v>5052</v>
      </c>
      <c r="F44" s="57">
        <f t="shared" si="21"/>
        <v>5442.1666666666661</v>
      </c>
      <c r="G44" s="57">
        <f t="shared" si="20"/>
        <v>20988.333333333332</v>
      </c>
    </row>
    <row r="45" spans="2:7" x14ac:dyDescent="0.3">
      <c r="B45" t="str">
        <f t="shared" si="19"/>
        <v>Gastos Administrativos</v>
      </c>
      <c r="C45" s="57">
        <f t="shared" si="21"/>
        <v>11723</v>
      </c>
      <c r="D45" s="57">
        <f t="shared" si="21"/>
        <v>12634</v>
      </c>
      <c r="E45" s="57">
        <f t="shared" si="21"/>
        <v>11723</v>
      </c>
      <c r="F45" s="57">
        <f t="shared" si="21"/>
        <v>12634</v>
      </c>
      <c r="G45" s="57">
        <f t="shared" si="20"/>
        <v>48714</v>
      </c>
    </row>
    <row r="46" spans="2:7" x14ac:dyDescent="0.3">
      <c r="B46" t="str">
        <f t="shared" si="19"/>
        <v>Otros Ingresos</v>
      </c>
      <c r="C46" s="57">
        <f t="shared" si="21"/>
        <v>1551</v>
      </c>
      <c r="D46" s="57">
        <f t="shared" si="21"/>
        <v>1551</v>
      </c>
      <c r="E46" s="57">
        <f t="shared" si="21"/>
        <v>1551</v>
      </c>
      <c r="F46" s="57">
        <f t="shared" si="21"/>
        <v>1551</v>
      </c>
      <c r="G46" s="57">
        <f t="shared" si="20"/>
        <v>6204</v>
      </c>
    </row>
    <row r="47" spans="2:7" x14ac:dyDescent="0.3">
      <c r="B47" t="str">
        <f t="shared" si="19"/>
        <v>Otros Gastos</v>
      </c>
      <c r="C47" s="57">
        <f t="shared" si="21"/>
        <v>1010</v>
      </c>
      <c r="D47" s="57">
        <f t="shared" si="21"/>
        <v>1010</v>
      </c>
      <c r="E47" s="57">
        <f t="shared" si="21"/>
        <v>1010</v>
      </c>
      <c r="F47" s="57">
        <f t="shared" si="21"/>
        <v>1010</v>
      </c>
      <c r="G47" s="57">
        <f t="shared" si="20"/>
        <v>4040</v>
      </c>
    </row>
    <row r="48" spans="2:7" x14ac:dyDescent="0.3">
      <c r="B48" t="str">
        <f t="shared" si="19"/>
        <v>Ingresos Financieros</v>
      </c>
      <c r="C48" s="57">
        <f t="shared" si="21"/>
        <v>2089</v>
      </c>
      <c r="D48" s="57">
        <f t="shared" si="21"/>
        <v>2089</v>
      </c>
      <c r="E48" s="57">
        <f t="shared" si="21"/>
        <v>2089</v>
      </c>
      <c r="F48" s="57">
        <f t="shared" si="21"/>
        <v>2089</v>
      </c>
      <c r="G48" s="57">
        <f t="shared" si="20"/>
        <v>8356</v>
      </c>
    </row>
    <row r="49" spans="2:7" x14ac:dyDescent="0.3">
      <c r="B49" t="str">
        <f t="shared" si="19"/>
        <v>Gastos Financieros</v>
      </c>
      <c r="C49" s="57">
        <f t="shared" si="21"/>
        <v>9718</v>
      </c>
      <c r="D49" s="57">
        <f t="shared" si="21"/>
        <v>9718</v>
      </c>
      <c r="E49" s="57">
        <f t="shared" si="21"/>
        <v>9718</v>
      </c>
      <c r="F49" s="57">
        <f t="shared" si="21"/>
        <v>9718</v>
      </c>
      <c r="G49" s="57">
        <f t="shared" si="20"/>
        <v>38872</v>
      </c>
    </row>
    <row r="50" spans="2:7" x14ac:dyDescent="0.3">
      <c r="B50" s="66" t="str">
        <f t="shared" si="19"/>
        <v>Ingresos Netos Operativos</v>
      </c>
      <c r="C50" s="113">
        <f>+C40+C41-C42</f>
        <v>289179.51500000001</v>
      </c>
      <c r="D50" s="113">
        <f>+D40+D41-D42</f>
        <v>207641.60761904757</v>
      </c>
      <c r="E50" s="113">
        <f t="shared" ref="E50:F50" si="22">+E40+E41-E42</f>
        <v>311372.16357142851</v>
      </c>
      <c r="F50" s="113">
        <f t="shared" si="22"/>
        <v>134670.13476190483</v>
      </c>
      <c r="G50" s="113">
        <f>+G40+G41-G42</f>
        <v>942863.42095238063</v>
      </c>
    </row>
    <row r="51" spans="2:7" x14ac:dyDescent="0.3">
      <c r="B51" t="s">
        <v>327</v>
      </c>
      <c r="C51" s="57"/>
      <c r="D51" s="57"/>
      <c r="E51" s="57">
        <f>+-C41*(1+(0.14/2))</f>
        <v>-53500</v>
      </c>
      <c r="F51" s="57"/>
      <c r="G51" s="57">
        <f>+SUM(C51:F51)</f>
        <v>-53500</v>
      </c>
    </row>
    <row r="52" spans="2:7" x14ac:dyDescent="0.3">
      <c r="B52" s="66" t="s">
        <v>323</v>
      </c>
      <c r="C52" s="113">
        <f>+C51</f>
        <v>0</v>
      </c>
      <c r="D52" s="113">
        <f t="shared" ref="D52:F52" si="23">+D51</f>
        <v>0</v>
      </c>
      <c r="E52" s="113">
        <f t="shared" si="23"/>
        <v>-53500</v>
      </c>
      <c r="F52" s="113">
        <f t="shared" si="23"/>
        <v>0</v>
      </c>
      <c r="G52" s="113">
        <f t="shared" ref="G52:G56" si="24">+SUM(C52:F52)</f>
        <v>-53500</v>
      </c>
    </row>
    <row r="53" spans="2:7" x14ac:dyDescent="0.3">
      <c r="B53" t="s">
        <v>325</v>
      </c>
      <c r="C53" s="57"/>
      <c r="D53" s="57"/>
      <c r="E53" s="57">
        <v>-8985.8728721963707</v>
      </c>
      <c r="F53" s="57">
        <v>-134939.71</v>
      </c>
      <c r="G53" s="57">
        <f t="shared" si="24"/>
        <v>-143925.58287219636</v>
      </c>
    </row>
    <row r="54" spans="2:7" x14ac:dyDescent="0.3">
      <c r="B54" t="s">
        <v>326</v>
      </c>
      <c r="C54" s="57"/>
      <c r="D54" s="57"/>
      <c r="E54" s="57"/>
      <c r="F54" s="57">
        <f>+-E53*0.03</f>
        <v>269.5761861658911</v>
      </c>
      <c r="G54" s="57">
        <f t="shared" si="24"/>
        <v>269.5761861658911</v>
      </c>
    </row>
    <row r="55" spans="2:7" x14ac:dyDescent="0.3">
      <c r="B55" s="66" t="s">
        <v>324</v>
      </c>
      <c r="C55" s="66">
        <f>+C53+C54</f>
        <v>0</v>
      </c>
      <c r="D55" s="66">
        <f>+D53+D54</f>
        <v>0</v>
      </c>
      <c r="E55" s="66">
        <f>+E53+E54</f>
        <v>-8985.8728721963707</v>
      </c>
      <c r="F55" s="66">
        <f>+F53+F54</f>
        <v>-134670.13381383411</v>
      </c>
      <c r="G55" s="113">
        <f t="shared" si="24"/>
        <v>-143656.00668603048</v>
      </c>
    </row>
    <row r="56" spans="2:7" x14ac:dyDescent="0.3">
      <c r="B56" s="66" t="s">
        <v>328</v>
      </c>
      <c r="C56" s="113">
        <f>+C50+C52+C55</f>
        <v>289179.51500000001</v>
      </c>
      <c r="D56" s="113">
        <f t="shared" ref="D56:F56" si="25">+D50+D52+D55</f>
        <v>207641.60761904757</v>
      </c>
      <c r="E56" s="113">
        <f t="shared" si="25"/>
        <v>248886.29069923214</v>
      </c>
      <c r="F56" s="116">
        <f t="shared" si="25"/>
        <v>9.4807072309777141E-4</v>
      </c>
      <c r="G56" s="57">
        <f t="shared" si="24"/>
        <v>745707.41426635045</v>
      </c>
    </row>
    <row r="57" spans="2:7" x14ac:dyDescent="0.3">
      <c r="B57" t="str">
        <f>B33</f>
        <v>Saldo Inicial</v>
      </c>
      <c r="C57" s="116">
        <f>C33</f>
        <v>87583</v>
      </c>
      <c r="D57" s="57">
        <f>+C58</f>
        <v>376762.51500000001</v>
      </c>
      <c r="E57" s="57">
        <f>+D58</f>
        <v>584404.12261904753</v>
      </c>
      <c r="F57" s="117">
        <f>+E58</f>
        <v>833290.41331827966</v>
      </c>
      <c r="G57" s="117">
        <f>+C57</f>
        <v>87583</v>
      </c>
    </row>
    <row r="58" spans="2:7" x14ac:dyDescent="0.3">
      <c r="B58" s="66" t="str">
        <f>B34</f>
        <v>Saldo Final</v>
      </c>
      <c r="C58" s="113">
        <f>+C57+C56</f>
        <v>376762.51500000001</v>
      </c>
      <c r="D58" s="113">
        <f t="shared" ref="D58:F58" si="26">+D57+D56</f>
        <v>584404.12261904753</v>
      </c>
      <c r="E58" s="113">
        <f>+E56+E57</f>
        <v>833290.41331827966</v>
      </c>
      <c r="F58" s="113">
        <f t="shared" si="26"/>
        <v>833290.41426635045</v>
      </c>
      <c r="G58" s="113">
        <f>+F58</f>
        <v>833290.41426635045</v>
      </c>
    </row>
    <row r="60" spans="2:7" x14ac:dyDescent="0.3">
      <c r="E60" s="57"/>
      <c r="F60" s="57"/>
    </row>
    <row r="62" spans="2:7" x14ac:dyDescent="0.3">
      <c r="E62" s="5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1306A-6802-4EE0-9F06-A7923DF3ECE4}">
  <dimension ref="B1:B46"/>
  <sheetViews>
    <sheetView workbookViewId="0">
      <selection activeCell="B46" sqref="B46"/>
    </sheetView>
  </sheetViews>
  <sheetFormatPr baseColWidth="10" defaultRowHeight="14.4" x14ac:dyDescent="0.3"/>
  <cols>
    <col min="2" max="2" width="12.6640625" customWidth="1"/>
  </cols>
  <sheetData>
    <row r="1" spans="2:2" x14ac:dyDescent="0.3">
      <c r="B1" t="s">
        <v>312</v>
      </c>
    </row>
    <row r="2" spans="2:2" x14ac:dyDescent="0.3">
      <c r="B2" t="s">
        <v>313</v>
      </c>
    </row>
    <row r="4" spans="2:2" x14ac:dyDescent="0.3">
      <c r="B4" t="s">
        <v>320</v>
      </c>
    </row>
    <row r="5" spans="2:2" x14ac:dyDescent="0.3">
      <c r="B5">
        <f>+'Balance Proforma'!C19+'Balance Proforma'!C20+'Balance Proforma'!C21</f>
        <v>1057830.958682308</v>
      </c>
    </row>
    <row r="8" spans="2:2" x14ac:dyDescent="0.3">
      <c r="B8" t="s">
        <v>321</v>
      </c>
    </row>
    <row r="9" spans="2:2" x14ac:dyDescent="0.3">
      <c r="B9">
        <f>+'Balance Proforma'!C19+'Balance Proforma'!C20+'Balance Proforma'!C21-'Balance Proforma'!F20-'Balance Proforma'!F21-'Balance Proforma'!F19</f>
        <v>3258</v>
      </c>
    </row>
    <row r="26" spans="2:2" x14ac:dyDescent="0.3">
      <c r="B26" t="s">
        <v>314</v>
      </c>
    </row>
    <row r="27" spans="2:2" x14ac:dyDescent="0.3">
      <c r="B27" t="s">
        <v>315</v>
      </c>
    </row>
    <row r="29" spans="2:2" x14ac:dyDescent="0.3">
      <c r="B29" t="s">
        <v>316</v>
      </c>
    </row>
    <row r="30" spans="2:2" x14ac:dyDescent="0.3">
      <c r="B30">
        <f>365/(-EERR!M3/ESF!N7)</f>
        <v>96.172763228281298</v>
      </c>
    </row>
    <row r="33" spans="2:2" x14ac:dyDescent="0.3">
      <c r="B33" t="s">
        <v>317</v>
      </c>
    </row>
    <row r="34" spans="2:2" x14ac:dyDescent="0.3">
      <c r="B34">
        <f>365/(EERR!M2/ESF!N3)</f>
        <v>52.617005989890394</v>
      </c>
    </row>
    <row r="37" spans="2:2" x14ac:dyDescent="0.3">
      <c r="B37" t="s">
        <v>318</v>
      </c>
    </row>
    <row r="38" spans="2:2" x14ac:dyDescent="0.3">
      <c r="B38">
        <f>365/(EERR!M2/ESF!N24)</f>
        <v>60.473136032040756</v>
      </c>
    </row>
    <row r="41" spans="2:2" x14ac:dyDescent="0.3">
      <c r="B41" t="s">
        <v>315</v>
      </c>
    </row>
    <row r="42" spans="2:2" x14ac:dyDescent="0.3">
      <c r="B42">
        <f>+B30+B34-B38</f>
        <v>88.316633186130943</v>
      </c>
    </row>
    <row r="45" spans="2:2" x14ac:dyDescent="0.3">
      <c r="B45" t="s">
        <v>319</v>
      </c>
    </row>
    <row r="46" spans="2:2" x14ac:dyDescent="0.3">
      <c r="B46">
        <f>((2670385-1960138)-(19318-49090)/('Capital de Trabajo'!B42/365))</f>
        <v>833290.41331827966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1D349-C035-4734-95D2-8AFABBAABB64}">
  <dimension ref="B2:D38"/>
  <sheetViews>
    <sheetView showGridLines="0" tabSelected="1" topLeftCell="A21" workbookViewId="0">
      <selection activeCell="F44" sqref="F44"/>
    </sheetView>
  </sheetViews>
  <sheetFormatPr baseColWidth="10" defaultRowHeight="14.4" x14ac:dyDescent="0.3"/>
  <cols>
    <col min="2" max="2" width="25.109375" customWidth="1"/>
    <col min="3" max="3" width="18.44140625" customWidth="1"/>
    <col min="4" max="5" width="18.6640625" bestFit="1" customWidth="1"/>
  </cols>
  <sheetData>
    <row r="2" spans="2:3" x14ac:dyDescent="0.3">
      <c r="B2" s="60" t="s">
        <v>344</v>
      </c>
      <c r="C2" s="60" t="s">
        <v>345</v>
      </c>
    </row>
    <row r="3" spans="2:3" x14ac:dyDescent="0.3">
      <c r="B3" s="64" t="s">
        <v>305</v>
      </c>
      <c r="C3" s="126">
        <v>2527636.2599999998</v>
      </c>
    </row>
    <row r="4" spans="2:3" x14ac:dyDescent="0.3">
      <c r="B4" s="64" t="s">
        <v>322</v>
      </c>
      <c r="C4" s="126">
        <v>110000</v>
      </c>
    </row>
    <row r="5" spans="2:3" x14ac:dyDescent="0.3">
      <c r="B5" s="64" t="s">
        <v>306</v>
      </c>
      <c r="C5" s="126">
        <v>1694772.8390476191</v>
      </c>
    </row>
    <row r="6" spans="2:3" x14ac:dyDescent="0.3">
      <c r="B6" s="64" t="s">
        <v>307</v>
      </c>
      <c r="C6" s="126">
        <v>1621098.5057142857</v>
      </c>
    </row>
    <row r="7" spans="2:3" x14ac:dyDescent="0.3">
      <c r="B7" s="64" t="s">
        <v>308</v>
      </c>
      <c r="C7" s="126">
        <v>20988.333333333332</v>
      </c>
    </row>
    <row r="8" spans="2:3" x14ac:dyDescent="0.3">
      <c r="B8" s="64" t="s">
        <v>214</v>
      </c>
      <c r="C8" s="126">
        <v>48714</v>
      </c>
    </row>
    <row r="9" spans="2:3" x14ac:dyDescent="0.3">
      <c r="B9" s="64" t="s">
        <v>223</v>
      </c>
      <c r="C9" s="126">
        <v>6204</v>
      </c>
    </row>
    <row r="10" spans="2:3" x14ac:dyDescent="0.3">
      <c r="B10" s="64" t="s">
        <v>235</v>
      </c>
      <c r="C10" s="126">
        <v>4040</v>
      </c>
    </row>
    <row r="11" spans="2:3" x14ac:dyDescent="0.3">
      <c r="B11" s="64" t="s">
        <v>46</v>
      </c>
      <c r="C11" s="126">
        <v>8356</v>
      </c>
    </row>
    <row r="12" spans="2:3" x14ac:dyDescent="0.3">
      <c r="B12" s="64" t="s">
        <v>47</v>
      </c>
      <c r="C12" s="126">
        <v>38872</v>
      </c>
    </row>
    <row r="13" spans="2:3" x14ac:dyDescent="0.3">
      <c r="B13" s="64" t="s">
        <v>192</v>
      </c>
      <c r="C13" s="126">
        <v>35033160</v>
      </c>
    </row>
    <row r="14" spans="2:3" x14ac:dyDescent="0.3">
      <c r="B14" s="64" t="s">
        <v>338</v>
      </c>
      <c r="C14" s="126">
        <v>1099735794</v>
      </c>
    </row>
    <row r="15" spans="2:3" x14ac:dyDescent="0.3">
      <c r="B15" s="64" t="s">
        <v>194</v>
      </c>
      <c r="C15" s="126">
        <v>486329551.71428573</v>
      </c>
    </row>
    <row r="16" spans="2:3" x14ac:dyDescent="0.3">
      <c r="B16" s="64" t="s">
        <v>340</v>
      </c>
      <c r="C16" s="134">
        <f>+'Presupuesto Ventas y Producción'!P28</f>
        <v>583886</v>
      </c>
    </row>
    <row r="17" spans="2:4" x14ac:dyDescent="0.3">
      <c r="B17" s="64" t="s">
        <v>335</v>
      </c>
      <c r="C17" s="126">
        <f>+'Presupuesto Ventas y Producción'!P8/('Presupuesto Ventas y Producción'!N8+'Presupuesto Ventas y Producción'!K8+'Presupuesto Ventas y Producción'!H8+'Presupuesto Ventas y Producción'!E8)</f>
        <v>4328.9893232583072</v>
      </c>
    </row>
    <row r="18" spans="2:4" x14ac:dyDescent="0.3">
      <c r="B18" s="127" t="s">
        <v>342</v>
      </c>
      <c r="C18" s="128">
        <f>+C6*1000/C16</f>
        <v>2776.3955733041821</v>
      </c>
    </row>
    <row r="19" spans="2:4" x14ac:dyDescent="0.3">
      <c r="B19" s="64"/>
      <c r="C19" s="126"/>
    </row>
    <row r="20" spans="2:4" x14ac:dyDescent="0.3">
      <c r="B20" s="60"/>
      <c r="C20" s="60" t="s">
        <v>337</v>
      </c>
      <c r="D20" s="60" t="s">
        <v>336</v>
      </c>
    </row>
    <row r="21" spans="2:4" x14ac:dyDescent="0.3">
      <c r="B21" t="s">
        <v>192</v>
      </c>
      <c r="C21" s="126"/>
      <c r="D21" s="126">
        <f>+C13</f>
        <v>35033160</v>
      </c>
    </row>
    <row r="22" spans="2:4" x14ac:dyDescent="0.3">
      <c r="B22" t="s">
        <v>338</v>
      </c>
      <c r="C22" s="126"/>
      <c r="D22" s="126">
        <f>+C14</f>
        <v>1099735794</v>
      </c>
    </row>
    <row r="23" spans="2:4" x14ac:dyDescent="0.3">
      <c r="B23" t="s">
        <v>194</v>
      </c>
      <c r="C23" s="126">
        <f>+C15</f>
        <v>486329551.71428573</v>
      </c>
      <c r="D23" s="126"/>
    </row>
    <row r="24" spans="2:4" x14ac:dyDescent="0.3">
      <c r="B24" t="str">
        <f>+B7</f>
        <v>Gastos de ventas</v>
      </c>
      <c r="C24" s="126">
        <f>+C7</f>
        <v>20988.333333333332</v>
      </c>
      <c r="D24" s="126"/>
    </row>
    <row r="25" spans="2:4" x14ac:dyDescent="0.3">
      <c r="B25" t="str">
        <f>+B8</f>
        <v>Gastos Administrativos</v>
      </c>
      <c r="C25" s="126">
        <f>+C8+C9-C10</f>
        <v>50878</v>
      </c>
      <c r="D25" s="126"/>
    </row>
    <row r="26" spans="2:4" x14ac:dyDescent="0.3">
      <c r="B26" t="s">
        <v>47</v>
      </c>
      <c r="C26" s="126">
        <f>+C12-C11</f>
        <v>30516</v>
      </c>
      <c r="D26" s="126"/>
    </row>
    <row r="27" spans="2:4" x14ac:dyDescent="0.3">
      <c r="B27" s="66" t="s">
        <v>346</v>
      </c>
      <c r="C27" s="129">
        <f>+SUM(C21:C26)</f>
        <v>486431934.04761904</v>
      </c>
      <c r="D27" s="129">
        <f>+SUM(D21:D26)</f>
        <v>1134768954</v>
      </c>
    </row>
    <row r="28" spans="2:4" x14ac:dyDescent="0.3">
      <c r="B28" s="66" t="s">
        <v>347</v>
      </c>
      <c r="C28" s="151">
        <f>+C27+D27</f>
        <v>1621200888.0476191</v>
      </c>
      <c r="D28" s="151"/>
    </row>
    <row r="30" spans="2:4" x14ac:dyDescent="0.3">
      <c r="B30" s="119" t="s">
        <v>348</v>
      </c>
      <c r="C30" s="119" t="s">
        <v>349</v>
      </c>
    </row>
    <row r="31" spans="2:4" x14ac:dyDescent="0.3">
      <c r="B31" s="131" t="s">
        <v>339</v>
      </c>
      <c r="C31" s="132">
        <f>+(C28-C26)/C16</f>
        <v>2776.5186561205769</v>
      </c>
    </row>
    <row r="32" spans="2:4" x14ac:dyDescent="0.3">
      <c r="B32" s="64" t="s">
        <v>341</v>
      </c>
      <c r="C32" s="130">
        <f>+C26/C16</f>
        <v>5.2263626803862401E-2</v>
      </c>
    </row>
    <row r="33" spans="2:4" x14ac:dyDescent="0.3">
      <c r="B33" s="127" t="s">
        <v>343</v>
      </c>
      <c r="C33" s="135">
        <f>+C27/(C17-C18)</f>
        <v>313302.77740844426</v>
      </c>
    </row>
    <row r="35" spans="2:4" x14ac:dyDescent="0.3">
      <c r="B35" s="136" t="s">
        <v>0</v>
      </c>
      <c r="C35" s="66" t="s">
        <v>355</v>
      </c>
      <c r="D35" s="66" t="s">
        <v>356</v>
      </c>
    </row>
    <row r="36" spans="2:4" x14ac:dyDescent="0.3">
      <c r="B36" s="64" t="s">
        <v>352</v>
      </c>
      <c r="C36" s="57">
        <f>+C17*C16</f>
        <v>2527636260</v>
      </c>
      <c r="D36" s="57">
        <f>+C17*C33</f>
        <v>1356284378.3483293</v>
      </c>
    </row>
    <row r="37" spans="2:4" x14ac:dyDescent="0.3">
      <c r="B37" s="64" t="s">
        <v>353</v>
      </c>
      <c r="C37" s="57">
        <f>+C27+C18*C16</f>
        <v>2107530439.7619047</v>
      </c>
      <c r="D37" s="57">
        <f>+C27+C18*C33</f>
        <v>1356284378.3483293</v>
      </c>
    </row>
    <row r="38" spans="2:4" x14ac:dyDescent="0.3">
      <c r="B38" s="136" t="s">
        <v>354</v>
      </c>
      <c r="C38" s="113">
        <f>+C36-C37</f>
        <v>420105820.23809528</v>
      </c>
      <c r="D38" s="113">
        <f>+D36-D37</f>
        <v>0</v>
      </c>
    </row>
  </sheetData>
  <mergeCells count="1">
    <mergeCell ref="C28:D2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51915-668E-46F5-A988-E3E1F8E923EA}">
  <dimension ref="B2:O19"/>
  <sheetViews>
    <sheetView showGridLines="0" workbookViewId="0">
      <selection activeCell="J18" sqref="J18"/>
    </sheetView>
  </sheetViews>
  <sheetFormatPr baseColWidth="10" defaultRowHeight="14.4" x14ac:dyDescent="0.3"/>
  <cols>
    <col min="2" max="15" width="7.77734375" customWidth="1"/>
  </cols>
  <sheetData>
    <row r="2" spans="2:15" x14ac:dyDescent="0.3">
      <c r="B2" t="s">
        <v>351</v>
      </c>
    </row>
    <row r="3" spans="2:15" x14ac:dyDescent="0.3">
      <c r="B3" s="66" t="s">
        <v>369</v>
      </c>
      <c r="C3" s="66">
        <v>2012</v>
      </c>
      <c r="D3" s="66">
        <v>2013</v>
      </c>
      <c r="E3" s="66">
        <v>2014</v>
      </c>
      <c r="F3" s="66">
        <v>2015</v>
      </c>
      <c r="G3" s="66">
        <v>2016</v>
      </c>
      <c r="H3" s="66">
        <v>2017</v>
      </c>
      <c r="I3" s="66">
        <v>2018</v>
      </c>
      <c r="J3" s="66">
        <v>2019</v>
      </c>
      <c r="K3" s="66">
        <v>2020</v>
      </c>
      <c r="L3" s="66">
        <v>2021</v>
      </c>
      <c r="M3" s="66">
        <v>2022</v>
      </c>
      <c r="N3" s="66">
        <v>2023</v>
      </c>
      <c r="O3" s="66">
        <v>2024</v>
      </c>
    </row>
    <row r="4" spans="2:15" x14ac:dyDescent="0.3">
      <c r="B4" s="65" t="s">
        <v>359</v>
      </c>
      <c r="C4" s="138">
        <f>+EERR!B9/(ESF!B10+ESF!B18)</f>
        <v>-0.14746260770646472</v>
      </c>
      <c r="D4" s="138">
        <f>+EERR!C9/(ESF!C10+ESF!C18)</f>
        <v>6.3476948962950086E-2</v>
      </c>
      <c r="E4" s="138">
        <f>+EERR!D9/(ESF!D10+ESF!D18)</f>
        <v>-0.30710481244750537</v>
      </c>
      <c r="F4" s="138">
        <f>+EERR!E9/(ESF!E10+ESF!E18)</f>
        <v>3.9117581874286107E-2</v>
      </c>
      <c r="G4" s="138">
        <f>+EERR!F9/(ESF!F10+ESF!F18)</f>
        <v>9.968003119231704E-2</v>
      </c>
      <c r="H4" s="138">
        <f>+EERR!G9/(ESF!G10+ESF!G18)</f>
        <v>0.11432287866193742</v>
      </c>
      <c r="I4" s="138">
        <f>+EERR!H9/(ESF!H10+ESF!H18)</f>
        <v>9.8468292912752581E-2</v>
      </c>
      <c r="J4" s="138">
        <f>+EERR!I9/(ESF!I10+ESF!I18)</f>
        <v>7.3227200600730638E-2</v>
      </c>
      <c r="K4" s="138">
        <f>+EERR!J9/(ESF!J10+ESF!J18)</f>
        <v>0.12097673592855787</v>
      </c>
      <c r="L4" s="138">
        <f>+EERR!K9/(ESF!K10+ESF!K18)</f>
        <v>0.24905615059558212</v>
      </c>
      <c r="M4" s="138">
        <f>+EERR!L9/(ESF!L10+ESF!L18)</f>
        <v>0.15232614402154224</v>
      </c>
      <c r="N4" s="138">
        <f>+EERR!M9/(ESF!M10+ESF!M18)</f>
        <v>0.10660250864670862</v>
      </c>
      <c r="O4" s="138">
        <f>+'EERR y Cash Flow proyectad'!G12/('Balance Proforma'!C24+'Balance Proforma'!C32)</f>
        <v>0.29943518726824025</v>
      </c>
    </row>
    <row r="6" spans="2:15" x14ac:dyDescent="0.3">
      <c r="B6" t="s">
        <v>357</v>
      </c>
    </row>
    <row r="7" spans="2:15" x14ac:dyDescent="0.3">
      <c r="B7" s="60" t="s">
        <v>360</v>
      </c>
      <c r="C7" s="60" t="s">
        <v>349</v>
      </c>
    </row>
    <row r="8" spans="2:15" x14ac:dyDescent="0.3">
      <c r="B8" s="63" t="s">
        <v>236</v>
      </c>
      <c r="C8" s="111">
        <f>+'EERR y Cash Flow proyectad'!G12</f>
        <v>826591.42095238098</v>
      </c>
    </row>
    <row r="9" spans="2:15" x14ac:dyDescent="0.3">
      <c r="B9" s="63" t="s">
        <v>358</v>
      </c>
      <c r="C9" s="111">
        <f>+('Balance Proforma'!C24+'Balance Proforma'!C32)</f>
        <v>2760501.958682308</v>
      </c>
    </row>
    <row r="10" spans="2:15" x14ac:dyDescent="0.3">
      <c r="B10" s="60" t="s">
        <v>359</v>
      </c>
      <c r="C10" s="68">
        <f>+C8/C9</f>
        <v>0.29943518726824025</v>
      </c>
    </row>
    <row r="13" spans="2:15" x14ac:dyDescent="0.3">
      <c r="B13" s="63" t="s">
        <v>361</v>
      </c>
    </row>
    <row r="14" spans="2:15" x14ac:dyDescent="0.3">
      <c r="B14" s="60" t="s">
        <v>364</v>
      </c>
      <c r="C14" s="60" t="s">
        <v>365</v>
      </c>
    </row>
    <row r="15" spans="2:15" x14ac:dyDescent="0.3">
      <c r="B15" t="s">
        <v>366</v>
      </c>
      <c r="C15" s="123">
        <v>0.08</v>
      </c>
    </row>
    <row r="16" spans="2:15" x14ac:dyDescent="0.3">
      <c r="B16" t="s">
        <v>362</v>
      </c>
      <c r="C16" s="123">
        <v>1.67E-2</v>
      </c>
    </row>
    <row r="17" spans="2:3" x14ac:dyDescent="0.3">
      <c r="B17" t="s">
        <v>363</v>
      </c>
      <c r="C17" s="123">
        <v>3.2000000000000001E-2</v>
      </c>
    </row>
    <row r="18" spans="2:3" x14ac:dyDescent="0.3">
      <c r="B18" s="60" t="s">
        <v>367</v>
      </c>
      <c r="C18" s="68">
        <f>+((1+C15)*(1+C16)*(1+C17))-1</f>
        <v>0.13317315200000013</v>
      </c>
    </row>
    <row r="19" spans="2:3" x14ac:dyDescent="0.3">
      <c r="B19" s="60" t="s">
        <v>368</v>
      </c>
      <c r="C19" s="137">
        <v>0.10869999999999999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01F919B3-BCE7-4EA8-9BF7-5DCC937215F6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C4:O4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A6117-82FF-4800-B7F1-27043950AB2A}">
  <dimension ref="B4:F15"/>
  <sheetViews>
    <sheetView showGridLines="0" workbookViewId="0">
      <selection activeCell="B4" sqref="B4:F15"/>
    </sheetView>
  </sheetViews>
  <sheetFormatPr baseColWidth="10" defaultRowHeight="14.4" x14ac:dyDescent="0.3"/>
  <cols>
    <col min="2" max="2" width="23.21875" customWidth="1"/>
    <col min="3" max="3" width="15.5546875" customWidth="1"/>
    <col min="4" max="4" width="14.5546875" customWidth="1"/>
    <col min="5" max="5" width="13.109375" customWidth="1"/>
    <col min="6" max="6" width="13.33203125" customWidth="1"/>
  </cols>
  <sheetData>
    <row r="4" spans="2:6" x14ac:dyDescent="0.3">
      <c r="B4" s="59" t="s">
        <v>158</v>
      </c>
      <c r="C4" s="59" t="s">
        <v>370</v>
      </c>
      <c r="D4" s="59" t="s">
        <v>371</v>
      </c>
      <c r="E4" s="59" t="s">
        <v>372</v>
      </c>
      <c r="F4" s="59" t="s">
        <v>372</v>
      </c>
    </row>
    <row r="5" spans="2:6" x14ac:dyDescent="0.3">
      <c r="B5" t="s">
        <v>232</v>
      </c>
      <c r="C5" s="69">
        <v>656418</v>
      </c>
      <c r="D5" s="69">
        <v>556255</v>
      </c>
      <c r="E5" s="69">
        <f>+D5-C5</f>
        <v>-100163</v>
      </c>
      <c r="F5" s="139">
        <f>1-(D5/C5)</f>
        <v>0.15259027022415594</v>
      </c>
    </row>
    <row r="6" spans="2:6" x14ac:dyDescent="0.3">
      <c r="B6" t="s">
        <v>233</v>
      </c>
      <c r="C6" s="69">
        <v>386095.48499999999</v>
      </c>
      <c r="D6" s="69">
        <v>465604</v>
      </c>
      <c r="E6" s="69">
        <f t="shared" ref="E6:E15" si="0">+D6-C6</f>
        <v>79508.515000000014</v>
      </c>
      <c r="F6" s="139">
        <f t="shared" ref="F6:F15" si="1">1-(D6/C6)</f>
        <v>-0.20592966789031486</v>
      </c>
    </row>
    <row r="7" spans="2:6" x14ac:dyDescent="0.3">
      <c r="B7" s="66" t="s">
        <v>234</v>
      </c>
      <c r="C7" s="99">
        <v>270322.51500000001</v>
      </c>
      <c r="D7" s="99">
        <f>+D5-D6</f>
        <v>90651</v>
      </c>
      <c r="E7" s="99">
        <f t="shared" si="0"/>
        <v>-179671.51500000001</v>
      </c>
      <c r="F7" s="140">
        <f t="shared" si="1"/>
        <v>0.66465612381565775</v>
      </c>
    </row>
    <row r="8" spans="2:6" x14ac:dyDescent="0.3">
      <c r="B8" t="s">
        <v>206</v>
      </c>
      <c r="C8" s="69">
        <v>5052</v>
      </c>
      <c r="D8" s="69">
        <v>4998</v>
      </c>
      <c r="E8" s="69">
        <f t="shared" si="0"/>
        <v>-54</v>
      </c>
      <c r="F8" s="139">
        <f t="shared" si="1"/>
        <v>1.06888361045131E-2</v>
      </c>
    </row>
    <row r="9" spans="2:6" x14ac:dyDescent="0.3">
      <c r="B9" t="s">
        <v>214</v>
      </c>
      <c r="C9" s="69">
        <v>11723</v>
      </c>
      <c r="D9" s="69">
        <v>10065</v>
      </c>
      <c r="E9" s="69">
        <f t="shared" si="0"/>
        <v>-1658</v>
      </c>
      <c r="F9" s="139">
        <f t="shared" si="1"/>
        <v>0.14143137422161567</v>
      </c>
    </row>
    <row r="10" spans="2:6" x14ac:dyDescent="0.3">
      <c r="B10" t="s">
        <v>223</v>
      </c>
      <c r="C10" s="69">
        <v>1551</v>
      </c>
      <c r="D10" s="69">
        <v>5755</v>
      </c>
      <c r="E10" s="69">
        <f t="shared" si="0"/>
        <v>4204</v>
      </c>
      <c r="F10" s="139">
        <f t="shared" si="1"/>
        <v>-2.7105093488072209</v>
      </c>
    </row>
    <row r="11" spans="2:6" x14ac:dyDescent="0.3">
      <c r="B11" t="s">
        <v>235</v>
      </c>
      <c r="C11" s="69">
        <v>1010</v>
      </c>
      <c r="D11" s="69">
        <v>1553</v>
      </c>
      <c r="E11" s="69">
        <f t="shared" si="0"/>
        <v>543</v>
      </c>
      <c r="F11" s="139">
        <f t="shared" si="1"/>
        <v>-0.53762376237623766</v>
      </c>
    </row>
    <row r="12" spans="2:6" x14ac:dyDescent="0.3">
      <c r="B12" s="66" t="s">
        <v>236</v>
      </c>
      <c r="C12" s="99">
        <v>250986.51500000001</v>
      </c>
      <c r="D12" s="99">
        <f>+D7-D8-D9-D11+D10</f>
        <v>79790</v>
      </c>
      <c r="E12" s="99">
        <f t="shared" si="0"/>
        <v>-171196.51500000001</v>
      </c>
      <c r="F12" s="140">
        <f t="shared" si="1"/>
        <v>0.6820944742788273</v>
      </c>
    </row>
    <row r="13" spans="2:6" x14ac:dyDescent="0.3">
      <c r="B13" t="s">
        <v>237</v>
      </c>
      <c r="C13" s="69">
        <v>2089</v>
      </c>
      <c r="D13" s="69">
        <v>939</v>
      </c>
      <c r="E13" s="69">
        <f t="shared" si="0"/>
        <v>-1150</v>
      </c>
      <c r="F13" s="139">
        <f t="shared" si="1"/>
        <v>0.55050263283867884</v>
      </c>
    </row>
    <row r="14" spans="2:6" x14ac:dyDescent="0.3">
      <c r="B14" t="s">
        <v>238</v>
      </c>
      <c r="C14" s="69">
        <v>9718</v>
      </c>
      <c r="D14" s="69">
        <v>6027</v>
      </c>
      <c r="E14" s="69">
        <f t="shared" si="0"/>
        <v>-3691</v>
      </c>
      <c r="F14" s="139">
        <f t="shared" si="1"/>
        <v>0.37981066062975921</v>
      </c>
    </row>
    <row r="15" spans="2:6" x14ac:dyDescent="0.3">
      <c r="B15" s="66" t="s">
        <v>239</v>
      </c>
      <c r="C15" s="99">
        <v>243357.51500000001</v>
      </c>
      <c r="D15" s="99">
        <f>+D12+D13-D14</f>
        <v>74702</v>
      </c>
      <c r="E15" s="99">
        <f t="shared" si="0"/>
        <v>-168655.51500000001</v>
      </c>
      <c r="F15" s="140">
        <f t="shared" si="1"/>
        <v>0.69303598452671578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0A7AE470-6B3D-44B3-9ED6-9E0A57DDB622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E5:E15</xm:sqref>
        </x14:conditionalFormatting>
        <x14:conditionalFormatting xmlns:xm="http://schemas.microsoft.com/office/excel/2006/main">
          <x14:cfRule type="iconSet" priority="1" id="{8E83D392-A115-45C7-801B-E27339E01750}">
            <x14:iconSet iconSet="3Triangles" custom="1">
              <x14:cfvo type="percent">
                <xm:f>0</xm:f>
              </x14:cfvo>
              <x14:cfvo type="num" gte="0">
                <xm:f>0</xm:f>
              </x14:cfvo>
              <x14:cfvo type="num">
                <xm:f>0</xm:f>
              </x14:cfvo>
              <x14:cfIcon iconSet="3Triangles" iconId="0"/>
              <x14:cfIcon iconSet="3Triangles" iconId="0"/>
              <x14:cfIcon iconSet="3Triangles" iconId="2"/>
            </x14:iconSet>
          </x14:cfRule>
          <xm:sqref>F5:F15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ESF</vt:lpstr>
      <vt:lpstr>EERR</vt:lpstr>
      <vt:lpstr>Flowcash</vt:lpstr>
      <vt:lpstr>Planeamiento Financiero</vt:lpstr>
      <vt:lpstr>Balance Proforma</vt:lpstr>
      <vt:lpstr>Proyección con históricos</vt:lpstr>
      <vt:lpstr>Presupuesto Ventas y Producción</vt:lpstr>
      <vt:lpstr>Presupuesto de Gastos Generales</vt:lpstr>
      <vt:lpstr>EERR y Cash Flow proyectad</vt:lpstr>
      <vt:lpstr>Capital de Trabajo</vt:lpstr>
      <vt:lpstr>Valuacion</vt:lpstr>
      <vt:lpstr>TRI Y CAPM</vt:lpstr>
      <vt:lpstr>CONTROL PRESUPUESTAL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Gabriel Caballero Reyes</dc:creator>
  <cp:lastModifiedBy>Carlos Gabriel Caballero Reyes</cp:lastModifiedBy>
  <dcterms:created xsi:type="dcterms:W3CDTF">2024-06-13T22:08:01Z</dcterms:created>
  <dcterms:modified xsi:type="dcterms:W3CDTF">2024-07-04T02:46:50Z</dcterms:modified>
</cp:coreProperties>
</file>