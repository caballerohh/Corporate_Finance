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IER\01 Univ Pacifico\Clases\Proyeccion de EEFF\2025\Ago 2025\INDECO\"/>
    </mc:Choice>
  </mc:AlternateContent>
  <xr:revisionPtr revIDLastSave="0" documentId="13_ncr:1_{80E6E6C1-0635-46F2-88CC-4FB8B6B04BEF}" xr6:coauthVersionLast="47" xr6:coauthVersionMax="47" xr10:uidLastSave="{00000000-0000-0000-0000-000000000000}"/>
  <bookViews>
    <workbookView xWindow="-28920" yWindow="-120" windowWidth="29040" windowHeight="15720" xr2:uid="{611CA56C-F6FA-4D83-B24B-19CF4AA8BC18}"/>
  </bookViews>
  <sheets>
    <sheet name="MENU" sheetId="41" r:id="rId1"/>
    <sheet name="Supuestos" sheetId="15" r:id="rId2"/>
    <sheet name="ER" sheetId="16" r:id="rId3"/>
    <sheet name="ESF" sheetId="42" r:id="rId4"/>
    <sheet name="Cambios Patrimonio" sheetId="38" r:id="rId5"/>
    <sheet name="Flujo de Efectivo" sheetId="24" r:id="rId6"/>
    <sheet name="Ventas" sheetId="25" r:id="rId7"/>
    <sheet name="Costo de Ventas" sheetId="33" r:id="rId8"/>
    <sheet name="Gasto de Personal" sheetId="28" r:id="rId9"/>
    <sheet name="Gasto de Ventas" sheetId="26" r:id="rId10"/>
    <sheet name="Gasto de Administración" sheetId="27" r:id="rId11"/>
    <sheet name="Ing Financieros" sheetId="29" r:id="rId12"/>
    <sheet name="Gasto Financiero" sheetId="30" r:id="rId13"/>
    <sheet name="Otros Gastos Op" sheetId="35" r:id="rId14"/>
    <sheet name="IR PT" sheetId="34" r:id="rId15"/>
    <sheet name="IME" sheetId="31" r:id="rId16"/>
    <sheet name="Fondo Maniobra" sheetId="21" r:id="rId17"/>
    <sheet name="Otros" sheetId="37" r:id="rId18"/>
    <sheet name="Pasivo Arrendamiento" sheetId="39" r:id="rId19"/>
    <sheet name="Fuentes Usos" sheetId="40" r:id="rId20"/>
  </sheet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Key1" hidden="1">#REF!</definedName>
    <definedName name="_Order1" hidden="1">255</definedName>
    <definedName name="_Sort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8" hidden="1">#REF!</definedName>
    <definedName name="BLPH9" hidden="1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"F:\WEB\JULIO\c46.htm"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Pal_Workbook_GUID" hidden="1">"E4CD2TEY7XT2KDJFCGN3KCP8"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"$S$21"</definedName>
    <definedName name="RiskSelectedNameCell1" hidden="1">"$P$21"</definedName>
    <definedName name="RiskSelectedNameCell2" hidden="1">"$S$17"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24" l="1"/>
  <c r="E54" i="24"/>
  <c r="C54" i="24"/>
  <c r="E43" i="24"/>
  <c r="D43" i="24"/>
  <c r="C43" i="24"/>
  <c r="I32" i="31"/>
  <c r="H32" i="31"/>
  <c r="G32" i="31"/>
  <c r="J31" i="31"/>
  <c r="J32" i="31" s="1"/>
  <c r="I31" i="31"/>
  <c r="H31" i="31"/>
  <c r="G31" i="31"/>
  <c r="F31" i="31"/>
  <c r="F32" i="31" s="1"/>
  <c r="E31" i="31"/>
  <c r="E32" i="31" s="1"/>
  <c r="D31" i="31"/>
  <c r="D32" i="31" s="1"/>
  <c r="C32" i="31"/>
  <c r="C31" i="31"/>
  <c r="B32" i="31"/>
  <c r="I34" i="24"/>
  <c r="J34" i="24"/>
  <c r="H34" i="24"/>
  <c r="H33" i="31"/>
  <c r="I33" i="31"/>
  <c r="J33" i="31"/>
  <c r="H28" i="15"/>
  <c r="H27" i="15"/>
  <c r="C34" i="31"/>
  <c r="D34" i="31"/>
  <c r="E34" i="31"/>
  <c r="F34" i="31"/>
  <c r="G34" i="31"/>
  <c r="B34" i="31"/>
  <c r="B38" i="31"/>
  <c r="F37" i="31"/>
  <c r="E37" i="31"/>
  <c r="D37" i="31"/>
  <c r="G36" i="31"/>
  <c r="G38" i="31" s="1"/>
  <c r="H30" i="15" s="1"/>
  <c r="F36" i="31"/>
  <c r="F38" i="31" s="1"/>
  <c r="E36" i="31"/>
  <c r="E38" i="31" s="1"/>
  <c r="D36" i="31"/>
  <c r="D38" i="31" s="1"/>
  <c r="C36" i="31"/>
  <c r="C38" i="31" s="1"/>
  <c r="G35" i="31"/>
  <c r="G37" i="31" s="1"/>
  <c r="H29" i="15" s="1"/>
  <c r="F35" i="31"/>
  <c r="E35" i="31"/>
  <c r="D35" i="31"/>
  <c r="C35" i="31"/>
  <c r="C37" i="31" s="1"/>
  <c r="B36" i="31"/>
  <c r="B35" i="31"/>
  <c r="B37" i="31" s="1"/>
  <c r="J7" i="38"/>
  <c r="I7" i="38"/>
  <c r="D11" i="25"/>
  <c r="E11" i="25"/>
  <c r="F11" i="25"/>
  <c r="G11" i="25"/>
  <c r="H11" i="25"/>
  <c r="D12" i="25"/>
  <c r="E12" i="25"/>
  <c r="F12" i="25"/>
  <c r="G12" i="25"/>
  <c r="H12" i="25"/>
  <c r="D13" i="25"/>
  <c r="E13" i="25"/>
  <c r="F13" i="25"/>
  <c r="G13" i="25"/>
  <c r="H13" i="25"/>
  <c r="E10" i="25"/>
  <c r="F10" i="25"/>
  <c r="G10" i="25"/>
  <c r="H10" i="25"/>
  <c r="D10" i="25"/>
  <c r="G24" i="34"/>
  <c r="F24" i="34"/>
  <c r="E24" i="34"/>
  <c r="D24" i="34"/>
  <c r="C24" i="34"/>
  <c r="B24" i="34"/>
  <c r="B17" i="31"/>
  <c r="B18" i="31"/>
  <c r="D17" i="28"/>
  <c r="E17" i="28"/>
  <c r="F17" i="28"/>
  <c r="G17" i="28"/>
  <c r="O5" i="25"/>
  <c r="O6" i="25"/>
  <c r="M17" i="15" s="1"/>
  <c r="M19" i="15" s="1"/>
  <c r="D6" i="15" s="1"/>
  <c r="O7" i="25"/>
  <c r="N17" i="15" s="1"/>
  <c r="N19" i="15" s="1"/>
  <c r="D7" i="15" s="1"/>
  <c r="O8" i="25"/>
  <c r="L17" i="15"/>
  <c r="L19" i="15" s="1"/>
  <c r="D5" i="15" s="1"/>
  <c r="E20" i="16"/>
  <c r="F20" i="16"/>
  <c r="G20" i="16"/>
  <c r="N16" i="15"/>
  <c r="M16" i="15"/>
  <c r="L16" i="15"/>
  <c r="J40" i="21"/>
  <c r="I40" i="21"/>
  <c r="H40" i="21"/>
  <c r="H11" i="33"/>
  <c r="G11" i="33"/>
  <c r="F11" i="33"/>
  <c r="F15" i="33" s="1"/>
  <c r="E11" i="33"/>
  <c r="G20" i="34"/>
  <c r="F20" i="34"/>
  <c r="E20" i="34"/>
  <c r="G18" i="34"/>
  <c r="F18" i="34"/>
  <c r="E18" i="34"/>
  <c r="G16" i="34"/>
  <c r="F16" i="34"/>
  <c r="E16" i="34"/>
  <c r="G15" i="34"/>
  <c r="F15" i="34"/>
  <c r="E15" i="34"/>
  <c r="G14" i="34"/>
  <c r="F14" i="34"/>
  <c r="E14" i="34"/>
  <c r="G12" i="34"/>
  <c r="F12" i="34"/>
  <c r="E12" i="34"/>
  <c r="G11" i="34"/>
  <c r="F11" i="34"/>
  <c r="E11" i="34"/>
  <c r="G10" i="34"/>
  <c r="F10" i="34"/>
  <c r="E10" i="34"/>
  <c r="G9" i="34"/>
  <c r="F9" i="34"/>
  <c r="E9" i="34"/>
  <c r="G8" i="34"/>
  <c r="F8" i="34"/>
  <c r="E8" i="34"/>
  <c r="H39" i="15"/>
  <c r="H38" i="15"/>
  <c r="B14" i="39"/>
  <c r="B13" i="39"/>
  <c r="B11" i="39"/>
  <c r="D50" i="15"/>
  <c r="B16" i="31"/>
  <c r="D34" i="15"/>
  <c r="N8" i="25"/>
  <c r="N7" i="25"/>
  <c r="N6" i="25"/>
  <c r="N5" i="25"/>
  <c r="G20" i="27"/>
  <c r="F20" i="27"/>
  <c r="E20" i="27"/>
  <c r="G5" i="26"/>
  <c r="F5" i="26"/>
  <c r="E5" i="26"/>
  <c r="G14" i="39"/>
  <c r="F14" i="39"/>
  <c r="E14" i="39"/>
  <c r="G13" i="39"/>
  <c r="F13" i="39"/>
  <c r="E13" i="39"/>
  <c r="G10" i="39"/>
  <c r="F10" i="39"/>
  <c r="E10" i="39"/>
  <c r="E11" i="39" s="1"/>
  <c r="G9" i="39"/>
  <c r="G11" i="39" s="1"/>
  <c r="F9" i="39"/>
  <c r="F11" i="39" s="1"/>
  <c r="E9" i="39"/>
  <c r="G5" i="39"/>
  <c r="F5" i="39"/>
  <c r="E5" i="39"/>
  <c r="G18" i="37"/>
  <c r="F18" i="37"/>
  <c r="E18" i="37"/>
  <c r="G13" i="37"/>
  <c r="F13" i="37"/>
  <c r="E13" i="37"/>
  <c r="G12" i="37"/>
  <c r="F12" i="37"/>
  <c r="E12" i="37"/>
  <c r="G7" i="37"/>
  <c r="F7" i="37"/>
  <c r="E7" i="37"/>
  <c r="F46" i="21"/>
  <c r="E46" i="21"/>
  <c r="G44" i="21"/>
  <c r="G37" i="21" s="1"/>
  <c r="F44" i="21"/>
  <c r="E44" i="21"/>
  <c r="G43" i="21"/>
  <c r="F43" i="21"/>
  <c r="F37" i="21" s="1"/>
  <c r="G36" i="21" s="1"/>
  <c r="E43" i="21"/>
  <c r="E37" i="21" s="1"/>
  <c r="F36" i="21" s="1"/>
  <c r="F38" i="21" s="1"/>
  <c r="G35" i="21"/>
  <c r="F35" i="21"/>
  <c r="E35" i="21"/>
  <c r="E32" i="21"/>
  <c r="G31" i="21"/>
  <c r="F31" i="21"/>
  <c r="E31" i="21"/>
  <c r="F30" i="21" s="1"/>
  <c r="F32" i="21" s="1"/>
  <c r="G30" i="21"/>
  <c r="E30" i="21"/>
  <c r="G29" i="21"/>
  <c r="G32" i="21" s="1"/>
  <c r="F29" i="21"/>
  <c r="E29" i="21"/>
  <c r="F21" i="21"/>
  <c r="G20" i="21"/>
  <c r="F20" i="21"/>
  <c r="E20" i="21"/>
  <c r="G19" i="21"/>
  <c r="G21" i="21" s="1"/>
  <c r="F19" i="21"/>
  <c r="E19" i="21"/>
  <c r="E21" i="21" s="1"/>
  <c r="G18" i="21"/>
  <c r="G22" i="21" s="1"/>
  <c r="G23" i="21" s="1"/>
  <c r="F18" i="21"/>
  <c r="F22" i="21" s="1"/>
  <c r="F23" i="21" s="1"/>
  <c r="E18" i="21"/>
  <c r="E22" i="21" s="1"/>
  <c r="E23" i="21" s="1"/>
  <c r="G10" i="21"/>
  <c r="F10" i="21"/>
  <c r="G9" i="21" s="1"/>
  <c r="G11" i="21" s="1"/>
  <c r="E10" i="21"/>
  <c r="F9" i="21" s="1"/>
  <c r="F11" i="21" s="1"/>
  <c r="E9" i="21"/>
  <c r="G8" i="21"/>
  <c r="F8" i="21"/>
  <c r="E8" i="21"/>
  <c r="F28" i="31"/>
  <c r="E28" i="31"/>
  <c r="F27" i="31"/>
  <c r="E27" i="31"/>
  <c r="F24" i="31"/>
  <c r="F26" i="31" s="1"/>
  <c r="E24" i="31"/>
  <c r="E26" i="31" s="1"/>
  <c r="G17" i="31"/>
  <c r="F17" i="31"/>
  <c r="E17" i="31"/>
  <c r="G5" i="31"/>
  <c r="F5" i="31"/>
  <c r="E5" i="31"/>
  <c r="G8" i="35"/>
  <c r="F8" i="35"/>
  <c r="E8" i="35"/>
  <c r="G5" i="35"/>
  <c r="F5" i="35"/>
  <c r="E5" i="35"/>
  <c r="G10" i="30"/>
  <c r="G11" i="30" s="1"/>
  <c r="F10" i="30"/>
  <c r="F11" i="30" s="1"/>
  <c r="E10" i="30"/>
  <c r="E11" i="30" s="1"/>
  <c r="G9" i="30"/>
  <c r="F9" i="30"/>
  <c r="E9" i="30"/>
  <c r="G5" i="30"/>
  <c r="F5" i="30"/>
  <c r="E5" i="30"/>
  <c r="F11" i="29"/>
  <c r="E11" i="29"/>
  <c r="G10" i="29"/>
  <c r="F10" i="29"/>
  <c r="E10" i="29"/>
  <c r="G9" i="29"/>
  <c r="G11" i="29" s="1"/>
  <c r="F9" i="29"/>
  <c r="E9" i="29"/>
  <c r="G5" i="29"/>
  <c r="F5" i="29"/>
  <c r="E5" i="29"/>
  <c r="F17" i="27"/>
  <c r="E17" i="27"/>
  <c r="G5" i="27"/>
  <c r="F5" i="27"/>
  <c r="E5" i="27"/>
  <c r="G18" i="26"/>
  <c r="F18" i="26"/>
  <c r="E18" i="26"/>
  <c r="F15" i="26"/>
  <c r="E15" i="26"/>
  <c r="G40" i="28"/>
  <c r="F40" i="28"/>
  <c r="E40" i="28"/>
  <c r="G37" i="28"/>
  <c r="F37" i="28"/>
  <c r="E37" i="28"/>
  <c r="G36" i="28"/>
  <c r="F36" i="28"/>
  <c r="E36" i="28"/>
  <c r="G35" i="28"/>
  <c r="F35" i="28"/>
  <c r="E35" i="28"/>
  <c r="G34" i="28"/>
  <c r="F34" i="28"/>
  <c r="E34" i="28"/>
  <c r="G33" i="28"/>
  <c r="F33" i="28"/>
  <c r="E33" i="28"/>
  <c r="G31" i="28"/>
  <c r="F31" i="28"/>
  <c r="E31" i="28"/>
  <c r="F28" i="28"/>
  <c r="E28" i="28"/>
  <c r="F27" i="28"/>
  <c r="E27" i="28"/>
  <c r="F26" i="28"/>
  <c r="E26" i="28"/>
  <c r="F23" i="28"/>
  <c r="E23" i="28"/>
  <c r="F15" i="28"/>
  <c r="E15" i="28"/>
  <c r="G5" i="28"/>
  <c r="F5" i="28"/>
  <c r="E5" i="28"/>
  <c r="F8" i="33"/>
  <c r="F9" i="33" s="1"/>
  <c r="F5" i="33"/>
  <c r="G8" i="25"/>
  <c r="F8" i="25"/>
  <c r="E5" i="34"/>
  <c r="E23" i="38"/>
  <c r="E21" i="38"/>
  <c r="E20" i="38"/>
  <c r="E22" i="38" s="1"/>
  <c r="E25" i="38" s="1"/>
  <c r="E15" i="38"/>
  <c r="E16" i="38" s="1"/>
  <c r="E12" i="38"/>
  <c r="E11" i="38"/>
  <c r="E6" i="38"/>
  <c r="G49" i="42"/>
  <c r="G48" i="42"/>
  <c r="F48" i="42"/>
  <c r="E48" i="42"/>
  <c r="D48" i="42"/>
  <c r="C48" i="42"/>
  <c r="B48" i="42"/>
  <c r="G40" i="42"/>
  <c r="G39" i="42"/>
  <c r="F39" i="42"/>
  <c r="E39" i="42"/>
  <c r="D39" i="42"/>
  <c r="C39" i="42"/>
  <c r="C40" i="42" s="1"/>
  <c r="B39" i="42"/>
  <c r="B40" i="42" s="1"/>
  <c r="G34" i="42"/>
  <c r="F34" i="42"/>
  <c r="F40" i="42" s="1"/>
  <c r="F49" i="42" s="1"/>
  <c r="E34" i="42"/>
  <c r="E40" i="42" s="1"/>
  <c r="E49" i="42" s="1"/>
  <c r="D34" i="42"/>
  <c r="D40" i="42" s="1"/>
  <c r="D49" i="42" s="1"/>
  <c r="C34" i="42"/>
  <c r="B34" i="42"/>
  <c r="G23" i="42"/>
  <c r="G24" i="42" s="1"/>
  <c r="F23" i="42"/>
  <c r="F24" i="42" s="1"/>
  <c r="E23" i="42"/>
  <c r="E24" i="42" s="1"/>
  <c r="D23" i="42"/>
  <c r="D24" i="42" s="1"/>
  <c r="C23" i="42"/>
  <c r="B23" i="42"/>
  <c r="G15" i="42"/>
  <c r="F15" i="42"/>
  <c r="E15" i="42"/>
  <c r="D15" i="42"/>
  <c r="C15" i="42"/>
  <c r="C24" i="42" s="1"/>
  <c r="B15" i="42"/>
  <c r="B24" i="42" s="1"/>
  <c r="G13" i="16"/>
  <c r="G17" i="16" s="1"/>
  <c r="G19" i="16" s="1"/>
  <c r="F13" i="16"/>
  <c r="F17" i="16" s="1"/>
  <c r="F19" i="16" s="1"/>
  <c r="E13" i="16"/>
  <c r="E17" i="16" s="1"/>
  <c r="E19" i="16" s="1"/>
  <c r="D13" i="16"/>
  <c r="D17" i="16" s="1"/>
  <c r="D19" i="16" s="1"/>
  <c r="G8" i="16"/>
  <c r="F8" i="16"/>
  <c r="E8" i="16"/>
  <c r="D8" i="16"/>
  <c r="C8" i="16"/>
  <c r="C13" i="16" s="1"/>
  <c r="C17" i="16" s="1"/>
  <c r="C19" i="16" s="1"/>
  <c r="B8" i="16"/>
  <c r="B13" i="16" s="1"/>
  <c r="B17" i="16" s="1"/>
  <c r="B19" i="16" s="1"/>
  <c r="F15" i="38"/>
  <c r="G15" i="38"/>
  <c r="H36" i="31" l="1"/>
  <c r="I36" i="31"/>
  <c r="J36" i="31"/>
  <c r="H35" i="31"/>
  <c r="I35" i="31"/>
  <c r="J35" i="31"/>
  <c r="E25" i="24" s="1"/>
  <c r="F16" i="33"/>
  <c r="E6" i="34"/>
  <c r="G38" i="21"/>
  <c r="G39" i="21" s="1"/>
  <c r="G40" i="21" s="1"/>
  <c r="F39" i="21"/>
  <c r="F40" i="21" s="1"/>
  <c r="E12" i="21"/>
  <c r="E13" i="21" s="1"/>
  <c r="G12" i="21"/>
  <c r="G13" i="21" s="1"/>
  <c r="F12" i="21"/>
  <c r="F13" i="21" s="1"/>
  <c r="E11" i="21"/>
  <c r="F12" i="33"/>
  <c r="B49" i="42"/>
  <c r="C49" i="42"/>
  <c r="M13" i="15"/>
  <c r="C6" i="15" s="1"/>
  <c r="N13" i="15"/>
  <c r="C7" i="15" s="1"/>
  <c r="L13" i="15"/>
  <c r="C5" i="15" s="1"/>
  <c r="D17" i="27"/>
  <c r="C17" i="27"/>
  <c r="B17" i="27"/>
  <c r="D15" i="28"/>
  <c r="C15" i="28"/>
  <c r="B15" i="28"/>
  <c r="E8" i="25"/>
  <c r="D8" i="25"/>
  <c r="C8" i="25"/>
  <c r="J11" i="27" l="1"/>
  <c r="I11" i="27"/>
  <c r="D25" i="24"/>
  <c r="H11" i="27"/>
  <c r="C25" i="24"/>
  <c r="J11" i="26"/>
  <c r="E20" i="24"/>
  <c r="I11" i="26"/>
  <c r="D20" i="24"/>
  <c r="C20" i="24"/>
  <c r="H11" i="26"/>
  <c r="C20" i="16"/>
  <c r="B20" i="16"/>
  <c r="D20" i="16"/>
  <c r="J12" i="31" l="1"/>
  <c r="E55" i="24" s="1"/>
  <c r="I12" i="31"/>
  <c r="D55" i="24" s="1"/>
  <c r="H12" i="31"/>
  <c r="C55" i="24" s="1"/>
  <c r="H14" i="42"/>
  <c r="C11" i="38" l="1"/>
  <c r="D11" i="38"/>
  <c r="F11" i="38"/>
  <c r="G11" i="38"/>
  <c r="H13" i="38" s="1"/>
  <c r="B11" i="38"/>
  <c r="I32" i="42"/>
  <c r="J32" i="42"/>
  <c r="H32" i="42"/>
  <c r="H43" i="15"/>
  <c r="H13" i="21"/>
  <c r="I13" i="21"/>
  <c r="J13" i="21"/>
  <c r="K33" i="28"/>
  <c r="K37" i="28" s="1"/>
  <c r="K36" i="28"/>
  <c r="K34" i="28"/>
  <c r="H47" i="42"/>
  <c r="I47" i="42" s="1"/>
  <c r="J47" i="42" s="1"/>
  <c r="H44" i="42"/>
  <c r="I44" i="42" s="1"/>
  <c r="J44" i="42" s="1"/>
  <c r="H38" i="42"/>
  <c r="I38" i="42" s="1"/>
  <c r="J38" i="42" s="1"/>
  <c r="H36" i="42"/>
  <c r="H31" i="42"/>
  <c r="I31" i="42" s="1"/>
  <c r="J31" i="42" s="1"/>
  <c r="H28" i="42"/>
  <c r="I28" i="42" s="1"/>
  <c r="H20" i="42"/>
  <c r="I20" i="42" s="1"/>
  <c r="J20" i="42" s="1"/>
  <c r="H18" i="42"/>
  <c r="I18" i="42" s="1"/>
  <c r="J18" i="42" s="1"/>
  <c r="I14" i="42"/>
  <c r="J14" i="42" s="1"/>
  <c r="H13" i="42"/>
  <c r="I13" i="42" s="1"/>
  <c r="J13" i="42" s="1"/>
  <c r="J28" i="42" l="1"/>
  <c r="I36" i="42"/>
  <c r="J36" i="42" l="1"/>
  <c r="A10" i="39" l="1"/>
  <c r="A9" i="39"/>
  <c r="A5" i="39"/>
  <c r="D47" i="40" l="1"/>
  <c r="C47" i="40"/>
  <c r="B47" i="40"/>
  <c r="D44" i="40"/>
  <c r="C44" i="40"/>
  <c r="B44" i="40"/>
  <c r="D38" i="40"/>
  <c r="C38" i="40"/>
  <c r="B38" i="40"/>
  <c r="D36" i="40"/>
  <c r="C36" i="40"/>
  <c r="B36" i="40"/>
  <c r="D32" i="40"/>
  <c r="E47" i="24" s="1"/>
  <c r="C32" i="40"/>
  <c r="D47" i="24" s="1"/>
  <c r="B32" i="40"/>
  <c r="C47" i="24" s="1"/>
  <c r="C31" i="40"/>
  <c r="B31" i="40"/>
  <c r="C28" i="40"/>
  <c r="B28" i="40"/>
  <c r="D21" i="40"/>
  <c r="C21" i="40"/>
  <c r="B21" i="40"/>
  <c r="D20" i="40"/>
  <c r="C20" i="40"/>
  <c r="B20" i="40"/>
  <c r="D18" i="40"/>
  <c r="C18" i="40"/>
  <c r="B18" i="40"/>
  <c r="D14" i="40"/>
  <c r="E13" i="24" s="1"/>
  <c r="C14" i="40"/>
  <c r="D13" i="24" s="1"/>
  <c r="B14" i="40"/>
  <c r="C13" i="24" s="1"/>
  <c r="D13" i="40"/>
  <c r="C13" i="40"/>
  <c r="B13" i="40"/>
  <c r="C5" i="31" l="1"/>
  <c r="D5" i="31"/>
  <c r="A5" i="31"/>
  <c r="B5" i="31"/>
  <c r="H21" i="15" s="1"/>
  <c r="C9" i="39"/>
  <c r="D9" i="39"/>
  <c r="C10" i="39"/>
  <c r="C11" i="39" s="1"/>
  <c r="D10" i="39"/>
  <c r="B10" i="39"/>
  <c r="B9" i="39"/>
  <c r="C5" i="39"/>
  <c r="D5" i="39"/>
  <c r="B5" i="39"/>
  <c r="I19" i="37"/>
  <c r="J19" i="37"/>
  <c r="H19" i="37"/>
  <c r="H7" i="38"/>
  <c r="B6" i="38"/>
  <c r="C6" i="38"/>
  <c r="D6" i="38"/>
  <c r="F6" i="38"/>
  <c r="G6" i="38"/>
  <c r="D47" i="15"/>
  <c r="D51" i="15"/>
  <c r="C44" i="15"/>
  <c r="I16" i="27"/>
  <c r="J16" i="27"/>
  <c r="H16" i="27"/>
  <c r="D35" i="15"/>
  <c r="C26" i="15"/>
  <c r="D11" i="33"/>
  <c r="C11" i="33"/>
  <c r="C12" i="38"/>
  <c r="D12" i="38"/>
  <c r="F12" i="38"/>
  <c r="F16" i="38" s="1"/>
  <c r="G12" i="38"/>
  <c r="B12" i="38"/>
  <c r="G23" i="38"/>
  <c r="H20" i="38" s="1"/>
  <c r="F23" i="38"/>
  <c r="G20" i="38" s="1"/>
  <c r="D23" i="38"/>
  <c r="F20" i="38" s="1"/>
  <c r="C23" i="38"/>
  <c r="D20" i="38" s="1"/>
  <c r="B23" i="38"/>
  <c r="D15" i="38"/>
  <c r="C15" i="38"/>
  <c r="B15" i="38"/>
  <c r="A15" i="38"/>
  <c r="C16" i="38" l="1"/>
  <c r="D16" i="38"/>
  <c r="B16" i="38"/>
  <c r="B22" i="38"/>
  <c r="B25" i="38" s="1"/>
  <c r="C20" i="38"/>
  <c r="H14" i="38"/>
  <c r="H15" i="38" s="1"/>
  <c r="G16" i="38"/>
  <c r="D11" i="39"/>
  <c r="C14" i="39"/>
  <c r="C13" i="39"/>
  <c r="H6" i="38"/>
  <c r="G8" i="15"/>
  <c r="I7" i="25"/>
  <c r="J7" i="25" s="1"/>
  <c r="K7" i="25" s="1"/>
  <c r="I6" i="25"/>
  <c r="I5" i="25"/>
  <c r="J5" i="25" s="1"/>
  <c r="K5" i="25" s="1"/>
  <c r="H8" i="25"/>
  <c r="H18" i="37"/>
  <c r="D18" i="37"/>
  <c r="C18" i="37"/>
  <c r="B18" i="37"/>
  <c r="D13" i="37"/>
  <c r="C13" i="37"/>
  <c r="B13" i="37"/>
  <c r="A13" i="37"/>
  <c r="D12" i="37"/>
  <c r="C12" i="37"/>
  <c r="B12" i="37"/>
  <c r="A12" i="37"/>
  <c r="J8" i="37"/>
  <c r="I8" i="37"/>
  <c r="H8" i="37"/>
  <c r="D7" i="37"/>
  <c r="C7" i="37"/>
  <c r="B7" i="37"/>
  <c r="J6" i="25" l="1"/>
  <c r="I8" i="25"/>
  <c r="I6" i="38"/>
  <c r="H43" i="42"/>
  <c r="I18" i="37"/>
  <c r="H17" i="42"/>
  <c r="D14" i="39"/>
  <c r="H18" i="15"/>
  <c r="D13" i="39"/>
  <c r="H7" i="37"/>
  <c r="K6" i="25" l="1"/>
  <c r="K8" i="25" s="1"/>
  <c r="J8" i="25"/>
  <c r="J18" i="37"/>
  <c r="J17" i="42" s="1"/>
  <c r="I17" i="42"/>
  <c r="I7" i="37"/>
  <c r="H10" i="42"/>
  <c r="J6" i="38"/>
  <c r="J43" i="42" s="1"/>
  <c r="I43" i="42"/>
  <c r="C20" i="34"/>
  <c r="D20" i="34"/>
  <c r="B20" i="34"/>
  <c r="C18" i="34"/>
  <c r="D18" i="34"/>
  <c r="B18" i="34"/>
  <c r="C14" i="34"/>
  <c r="D14" i="34"/>
  <c r="C15" i="34"/>
  <c r="D15" i="34"/>
  <c r="C16" i="34"/>
  <c r="D16" i="34"/>
  <c r="B15" i="34"/>
  <c r="B16" i="34"/>
  <c r="B14" i="34"/>
  <c r="C20" i="27"/>
  <c r="C9" i="34" s="1"/>
  <c r="D20" i="27"/>
  <c r="D9" i="34" s="1"/>
  <c r="B20" i="27"/>
  <c r="B9" i="34" s="1"/>
  <c r="C11" i="34"/>
  <c r="D11" i="34"/>
  <c r="C12" i="34"/>
  <c r="D12" i="34"/>
  <c r="B12" i="34"/>
  <c r="B11" i="34"/>
  <c r="B5" i="34"/>
  <c r="C5" i="34"/>
  <c r="D5" i="34"/>
  <c r="F5" i="34"/>
  <c r="G5" i="34"/>
  <c r="D18" i="26"/>
  <c r="D8" i="34" s="1"/>
  <c r="C18" i="26"/>
  <c r="C8" i="34" s="1"/>
  <c r="B18" i="26"/>
  <c r="B8" i="34" s="1"/>
  <c r="D40" i="28"/>
  <c r="D10" i="34" s="1"/>
  <c r="C40" i="28"/>
  <c r="C10" i="34" s="1"/>
  <c r="B40" i="28"/>
  <c r="B10" i="34" s="1"/>
  <c r="C8" i="35"/>
  <c r="D8" i="35"/>
  <c r="B8" i="35"/>
  <c r="A8" i="35"/>
  <c r="D5" i="35"/>
  <c r="C5" i="35"/>
  <c r="B5" i="35"/>
  <c r="J7" i="37" l="1"/>
  <c r="J10" i="42" s="1"/>
  <c r="I10" i="42"/>
  <c r="D48" i="15"/>
  <c r="A18" i="34"/>
  <c r="H8" i="33"/>
  <c r="G8" i="33"/>
  <c r="E8" i="33"/>
  <c r="D8" i="33"/>
  <c r="C8" i="33"/>
  <c r="C5" i="33"/>
  <c r="D5" i="33"/>
  <c r="D12" i="33" s="1"/>
  <c r="E5" i="33"/>
  <c r="E12" i="33" s="1"/>
  <c r="G5" i="33"/>
  <c r="G12" i="33" s="1"/>
  <c r="H5" i="33"/>
  <c r="H12" i="33" s="1"/>
  <c r="B8" i="33"/>
  <c r="B5" i="33"/>
  <c r="C12" i="33" l="1"/>
  <c r="G9" i="33"/>
  <c r="H9" i="33"/>
  <c r="D9" i="33"/>
  <c r="E9" i="33"/>
  <c r="C9" i="33"/>
  <c r="G15" i="33"/>
  <c r="F6" i="34" s="1"/>
  <c r="E15" i="33"/>
  <c r="E16" i="33" s="1"/>
  <c r="D15" i="33"/>
  <c r="D16" i="33" s="1"/>
  <c r="H15" i="33"/>
  <c r="C15" i="33"/>
  <c r="C9" i="30"/>
  <c r="D9" i="30"/>
  <c r="C10" i="30"/>
  <c r="D10" i="30"/>
  <c r="B10" i="30"/>
  <c r="B9" i="30"/>
  <c r="D5" i="30"/>
  <c r="C5" i="30"/>
  <c r="B5" i="30"/>
  <c r="B28" i="31"/>
  <c r="G24" i="31"/>
  <c r="D24" i="31"/>
  <c r="C24" i="31"/>
  <c r="C27" i="31" s="1"/>
  <c r="B24" i="31"/>
  <c r="B27" i="31" s="1"/>
  <c r="D17" i="31"/>
  <c r="C17" i="31"/>
  <c r="C8" i="31"/>
  <c r="C5" i="29"/>
  <c r="D5" i="29"/>
  <c r="B5" i="29"/>
  <c r="C9" i="29"/>
  <c r="D9" i="29"/>
  <c r="C10" i="29"/>
  <c r="D10" i="29"/>
  <c r="B10" i="29"/>
  <c r="B9" i="29"/>
  <c r="B31" i="28"/>
  <c r="C31" i="28"/>
  <c r="D31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D16" i="15"/>
  <c r="D17" i="15"/>
  <c r="D18" i="15"/>
  <c r="D19" i="15"/>
  <c r="D20" i="15"/>
  <c r="D14" i="15"/>
  <c r="D5" i="28"/>
  <c r="C5" i="28"/>
  <c r="C17" i="28" s="1"/>
  <c r="B5" i="28"/>
  <c r="B17" i="28" s="1"/>
  <c r="B23" i="28"/>
  <c r="B28" i="28" s="1"/>
  <c r="D23" i="28"/>
  <c r="D27" i="28" s="1"/>
  <c r="C23" i="28"/>
  <c r="C26" i="28" s="1"/>
  <c r="G23" i="28"/>
  <c r="G15" i="28"/>
  <c r="H15" i="27"/>
  <c r="I15" i="27" s="1"/>
  <c r="J15" i="27" s="1"/>
  <c r="H13" i="27"/>
  <c r="I13" i="27" s="1"/>
  <c r="J13" i="27" s="1"/>
  <c r="G17" i="27"/>
  <c r="D5" i="27"/>
  <c r="C5" i="27"/>
  <c r="B5" i="27"/>
  <c r="D5" i="26"/>
  <c r="C5" i="26"/>
  <c r="B5" i="26"/>
  <c r="H14" i="26"/>
  <c r="I14" i="26" s="1"/>
  <c r="J14" i="26" s="1"/>
  <c r="H13" i="26"/>
  <c r="I13" i="26" s="1"/>
  <c r="J13" i="26" s="1"/>
  <c r="G15" i="26"/>
  <c r="D15" i="26"/>
  <c r="C15" i="26"/>
  <c r="B15" i="26"/>
  <c r="H6" i="16"/>
  <c r="L24" i="15" s="1"/>
  <c r="G28" i="28" l="1"/>
  <c r="D25" i="15" s="1"/>
  <c r="G27" i="28"/>
  <c r="D24" i="15" s="1"/>
  <c r="G26" i="28"/>
  <c r="D23" i="15" s="1"/>
  <c r="G27" i="31"/>
  <c r="G28" i="31"/>
  <c r="G26" i="31"/>
  <c r="D41" i="15" s="1"/>
  <c r="D28" i="31"/>
  <c r="D27" i="31"/>
  <c r="D26" i="31"/>
  <c r="H16" i="33"/>
  <c r="G6" i="34"/>
  <c r="G7" i="34" s="1"/>
  <c r="G13" i="34" s="1"/>
  <c r="G17" i="34" s="1"/>
  <c r="G16" i="33"/>
  <c r="E7" i="34"/>
  <c r="E13" i="34" s="1"/>
  <c r="E17" i="34" s="1"/>
  <c r="E19" i="34" s="1"/>
  <c r="B26" i="31"/>
  <c r="C5" i="24"/>
  <c r="H5" i="39"/>
  <c r="H11" i="39" s="1"/>
  <c r="H9" i="39" s="1"/>
  <c r="H33" i="42" s="1"/>
  <c r="B33" i="40" s="1"/>
  <c r="H5" i="31"/>
  <c r="D10" i="15"/>
  <c r="C16" i="33"/>
  <c r="D42" i="15"/>
  <c r="D33" i="15"/>
  <c r="B11" i="29"/>
  <c r="D11" i="30"/>
  <c r="D29" i="15"/>
  <c r="D30" i="15"/>
  <c r="B6" i="34"/>
  <c r="B7" i="34" s="1"/>
  <c r="B13" i="34" s="1"/>
  <c r="B17" i="34" s="1"/>
  <c r="B11" i="30"/>
  <c r="C6" i="34"/>
  <c r="C7" i="34" s="1"/>
  <c r="C13" i="34" s="1"/>
  <c r="C17" i="34" s="1"/>
  <c r="D6" i="34"/>
  <c r="D7" i="34" s="1"/>
  <c r="D13" i="34" s="1"/>
  <c r="D17" i="34" s="1"/>
  <c r="C16" i="31"/>
  <c r="D8" i="31" s="1"/>
  <c r="C18" i="31"/>
  <c r="F7" i="34"/>
  <c r="F13" i="34" s="1"/>
  <c r="F17" i="34" s="1"/>
  <c r="H12" i="37"/>
  <c r="H13" i="37" s="1"/>
  <c r="C11" i="30"/>
  <c r="D11" i="29"/>
  <c r="C11" i="29"/>
  <c r="H5" i="35"/>
  <c r="H8" i="35" s="1"/>
  <c r="H12" i="16" s="1"/>
  <c r="H5" i="34"/>
  <c r="H5" i="26"/>
  <c r="H8" i="26" s="1"/>
  <c r="I5" i="33"/>
  <c r="C28" i="31"/>
  <c r="C26" i="31"/>
  <c r="D43" i="15"/>
  <c r="H5" i="28"/>
  <c r="H8" i="28" s="1"/>
  <c r="C27" i="28"/>
  <c r="C28" i="28"/>
  <c r="D28" i="28"/>
  <c r="B26" i="28"/>
  <c r="B27" i="28"/>
  <c r="D26" i="28"/>
  <c r="H5" i="27"/>
  <c r="J6" i="16"/>
  <c r="N24" i="15" s="1"/>
  <c r="H11" i="31" l="1"/>
  <c r="C53" i="24" s="1"/>
  <c r="C56" i="24" s="1"/>
  <c r="H34" i="31"/>
  <c r="E23" i="34"/>
  <c r="E21" i="34"/>
  <c r="E25" i="34" s="1"/>
  <c r="E5" i="24"/>
  <c r="D19" i="34"/>
  <c r="D23" i="34" s="1"/>
  <c r="C19" i="34"/>
  <c r="C23" i="34" s="1"/>
  <c r="G19" i="34"/>
  <c r="G23" i="34" s="1"/>
  <c r="F19" i="34"/>
  <c r="F23" i="34" s="1"/>
  <c r="H10" i="39"/>
  <c r="H37" i="42" s="1"/>
  <c r="H39" i="42" s="1"/>
  <c r="H22" i="42"/>
  <c r="B22" i="40" s="1"/>
  <c r="H11" i="42"/>
  <c r="B11" i="40" s="1"/>
  <c r="H12" i="34"/>
  <c r="C36" i="24"/>
  <c r="J5" i="39"/>
  <c r="J11" i="39" s="1"/>
  <c r="J9" i="39" s="1"/>
  <c r="J33" i="42" s="1"/>
  <c r="J5" i="31"/>
  <c r="D49" i="15"/>
  <c r="H10" i="28"/>
  <c r="H12" i="28"/>
  <c r="H11" i="28"/>
  <c r="H14" i="28"/>
  <c r="H13" i="28"/>
  <c r="B19" i="34"/>
  <c r="D54" i="15"/>
  <c r="D16" i="31"/>
  <c r="E8" i="31" s="1"/>
  <c r="D18" i="31"/>
  <c r="J12" i="37"/>
  <c r="J13" i="37" s="1"/>
  <c r="J11" i="42" s="1"/>
  <c r="J5" i="35"/>
  <c r="J8" i="35" s="1"/>
  <c r="J12" i="16" s="1"/>
  <c r="J5" i="34"/>
  <c r="I15" i="33"/>
  <c r="H10" i="26"/>
  <c r="J5" i="28"/>
  <c r="J8" i="28" s="1"/>
  <c r="K5" i="33"/>
  <c r="H9" i="27"/>
  <c r="H12" i="27"/>
  <c r="J5" i="26"/>
  <c r="J5" i="27"/>
  <c r="I6" i="16"/>
  <c r="M24" i="15" s="1"/>
  <c r="J11" i="31" l="1"/>
  <c r="E53" i="24" s="1"/>
  <c r="E56" i="24" s="1"/>
  <c r="J34" i="31"/>
  <c r="J22" i="42" s="1"/>
  <c r="E18" i="31"/>
  <c r="E16" i="31"/>
  <c r="F8" i="31" s="1"/>
  <c r="F18" i="31" s="1"/>
  <c r="D21" i="34"/>
  <c r="D25" i="34" s="1"/>
  <c r="E22" i="34"/>
  <c r="D5" i="24"/>
  <c r="C21" i="34"/>
  <c r="C25" i="34" s="1"/>
  <c r="G21" i="34"/>
  <c r="G25" i="34" s="1"/>
  <c r="F21" i="34"/>
  <c r="F25" i="34" s="1"/>
  <c r="B37" i="40"/>
  <c r="J12" i="34"/>
  <c r="E36" i="24"/>
  <c r="J10" i="39"/>
  <c r="J37" i="42" s="1"/>
  <c r="J39" i="42" s="1"/>
  <c r="I5" i="39"/>
  <c r="I11" i="39" s="1"/>
  <c r="I9" i="39" s="1"/>
  <c r="I5" i="31"/>
  <c r="J11" i="28"/>
  <c r="J14" i="28"/>
  <c r="J10" i="28"/>
  <c r="J13" i="28"/>
  <c r="J12" i="28"/>
  <c r="B23" i="34"/>
  <c r="D55" i="15"/>
  <c r="B21" i="34"/>
  <c r="B25" i="34" s="1"/>
  <c r="H6" i="34"/>
  <c r="H7" i="34" s="1"/>
  <c r="I12" i="37"/>
  <c r="I13" i="37" s="1"/>
  <c r="H40" i="28"/>
  <c r="H10" i="34" s="1"/>
  <c r="I5" i="35"/>
  <c r="I8" i="35" s="1"/>
  <c r="I12" i="16" s="1"/>
  <c r="I5" i="34"/>
  <c r="K15" i="33"/>
  <c r="I5" i="28"/>
  <c r="I8" i="28" s="1"/>
  <c r="J5" i="33"/>
  <c r="J9" i="27"/>
  <c r="J12" i="27"/>
  <c r="I5" i="26"/>
  <c r="I5" i="27"/>
  <c r="J10" i="26"/>
  <c r="J8" i="26"/>
  <c r="C60" i="24"/>
  <c r="E46" i="24"/>
  <c r="D46" i="24"/>
  <c r="C46" i="24"/>
  <c r="B30" i="21"/>
  <c r="I11" i="31" l="1"/>
  <c r="D53" i="24" s="1"/>
  <c r="D56" i="24" s="1"/>
  <c r="I34" i="31"/>
  <c r="F16" i="31"/>
  <c r="G8" i="31" s="1"/>
  <c r="D38" i="15" s="1"/>
  <c r="I33" i="42"/>
  <c r="C33" i="40" s="1"/>
  <c r="I11" i="42"/>
  <c r="D11" i="40" s="1"/>
  <c r="I22" i="42"/>
  <c r="C22" i="40" s="1"/>
  <c r="I12" i="34"/>
  <c r="D36" i="24"/>
  <c r="I10" i="39"/>
  <c r="I37" i="42" s="1"/>
  <c r="I39" i="42" s="1"/>
  <c r="I11" i="28"/>
  <c r="I14" i="28"/>
  <c r="I10" i="28"/>
  <c r="I13" i="28"/>
  <c r="I12" i="28"/>
  <c r="J6" i="34"/>
  <c r="J7" i="34" s="1"/>
  <c r="J40" i="28"/>
  <c r="J10" i="34" s="1"/>
  <c r="J15" i="33"/>
  <c r="I9" i="27"/>
  <c r="I12" i="27"/>
  <c r="I8" i="26"/>
  <c r="I10" i="26"/>
  <c r="G18" i="31" l="1"/>
  <c r="G16" i="31"/>
  <c r="H8" i="31" s="1"/>
  <c r="H14" i="31" s="1"/>
  <c r="H16" i="31" s="1"/>
  <c r="D22" i="40"/>
  <c r="C11" i="40"/>
  <c r="D33" i="40"/>
  <c r="C37" i="40"/>
  <c r="D37" i="40"/>
  <c r="I6" i="34"/>
  <c r="I7" i="34" s="1"/>
  <c r="I40" i="28"/>
  <c r="I10" i="34" s="1"/>
  <c r="I8" i="31" l="1"/>
  <c r="I14" i="31" s="1"/>
  <c r="I16" i="31" s="1"/>
  <c r="H19" i="42"/>
  <c r="H23" i="42" s="1"/>
  <c r="H23" i="31"/>
  <c r="H22" i="31"/>
  <c r="H21" i="31"/>
  <c r="C14" i="24" s="1"/>
  <c r="C10" i="21"/>
  <c r="D9" i="21" s="1"/>
  <c r="D44" i="21"/>
  <c r="C44" i="21"/>
  <c r="B44" i="21"/>
  <c r="C43" i="21"/>
  <c r="B43" i="21"/>
  <c r="B31" i="21"/>
  <c r="C30" i="21" s="1"/>
  <c r="H9" i="21"/>
  <c r="D10" i="21"/>
  <c r="B10" i="21"/>
  <c r="B11" i="21" s="1"/>
  <c r="C37" i="21" l="1"/>
  <c r="B37" i="21"/>
  <c r="J8" i="31"/>
  <c r="J14" i="31" s="1"/>
  <c r="I19" i="42"/>
  <c r="I23" i="42" s="1"/>
  <c r="H14" i="27"/>
  <c r="H20" i="27" s="1"/>
  <c r="H9" i="34" s="1"/>
  <c r="H12" i="26"/>
  <c r="H18" i="26" s="1"/>
  <c r="H8" i="34" s="1"/>
  <c r="H24" i="31"/>
  <c r="I23" i="31"/>
  <c r="I21" i="31"/>
  <c r="D14" i="24" s="1"/>
  <c r="I22" i="31"/>
  <c r="C50" i="24"/>
  <c r="C40" i="24"/>
  <c r="H10" i="30"/>
  <c r="C9" i="21"/>
  <c r="C11" i="21" s="1"/>
  <c r="B43" i="40"/>
  <c r="D11" i="21"/>
  <c r="B19" i="40"/>
  <c r="D31" i="21"/>
  <c r="D20" i="21"/>
  <c r="H30" i="21"/>
  <c r="H19" i="21"/>
  <c r="C36" i="21"/>
  <c r="B38" i="21"/>
  <c r="B17" i="40"/>
  <c r="D43" i="21"/>
  <c r="B20" i="21"/>
  <c r="C31" i="21"/>
  <c r="D30" i="21" s="1"/>
  <c r="C20" i="21"/>
  <c r="D19" i="21" s="1"/>
  <c r="B10" i="40"/>
  <c r="D37" i="21" l="1"/>
  <c r="J21" i="31"/>
  <c r="E14" i="24" s="1"/>
  <c r="J16" i="31"/>
  <c r="J19" i="42" s="1"/>
  <c r="J23" i="42" s="1"/>
  <c r="J23" i="31"/>
  <c r="J22" i="31"/>
  <c r="J12" i="26" s="1"/>
  <c r="J18" i="26" s="1"/>
  <c r="J8" i="34" s="1"/>
  <c r="I14" i="27"/>
  <c r="I20" i="27" s="1"/>
  <c r="I9" i="34" s="1"/>
  <c r="I12" i="26"/>
  <c r="I18" i="26" s="1"/>
  <c r="I8" i="34" s="1"/>
  <c r="H12" i="38"/>
  <c r="I14" i="38" s="1"/>
  <c r="C44" i="24"/>
  <c r="I24" i="31"/>
  <c r="D50" i="24"/>
  <c r="I10" i="30"/>
  <c r="D40" i="24"/>
  <c r="H9" i="30"/>
  <c r="H11" i="30" s="1"/>
  <c r="H5" i="30" s="1"/>
  <c r="H15" i="16" s="1"/>
  <c r="H15" i="34" s="1"/>
  <c r="D31" i="40"/>
  <c r="H10" i="29"/>
  <c r="C43" i="40"/>
  <c r="C38" i="21"/>
  <c r="C19" i="21"/>
  <c r="C21" i="21" s="1"/>
  <c r="B21" i="21"/>
  <c r="C19" i="40"/>
  <c r="D21" i="21"/>
  <c r="D36" i="21"/>
  <c r="D38" i="21" s="1"/>
  <c r="C17" i="40"/>
  <c r="H36" i="21"/>
  <c r="D28" i="40"/>
  <c r="C10" i="40"/>
  <c r="H10" i="15" l="1"/>
  <c r="E36" i="21"/>
  <c r="E38" i="21" s="1"/>
  <c r="E39" i="21" s="1"/>
  <c r="E40" i="21" s="1"/>
  <c r="J14" i="27"/>
  <c r="J20" i="27" s="1"/>
  <c r="J9" i="34" s="1"/>
  <c r="J24" i="31"/>
  <c r="D17" i="40"/>
  <c r="D10" i="40"/>
  <c r="E44" i="24" s="1"/>
  <c r="D43" i="40"/>
  <c r="E50" i="24"/>
  <c r="I12" i="38"/>
  <c r="J14" i="38" s="1"/>
  <c r="D44" i="24"/>
  <c r="J12" i="38"/>
  <c r="E40" i="24"/>
  <c r="J10" i="30"/>
  <c r="I9" i="30"/>
  <c r="I11" i="30" s="1"/>
  <c r="I5" i="30" s="1"/>
  <c r="I15" i="16" s="1"/>
  <c r="I15" i="34" s="1"/>
  <c r="I10" i="29"/>
  <c r="J10" i="29"/>
  <c r="D19" i="40"/>
  <c r="J9" i="30" l="1"/>
  <c r="J11" i="30" s="1"/>
  <c r="J5" i="30" s="1"/>
  <c r="J15" i="16" s="1"/>
  <c r="J15" i="34" l="1"/>
  <c r="D41" i="24"/>
  <c r="E41" i="24"/>
  <c r="C41" i="24"/>
  <c r="I11" i="16"/>
  <c r="J16" i="16"/>
  <c r="J32" i="24" s="1"/>
  <c r="J16" i="34" l="1"/>
  <c r="E15" i="24"/>
  <c r="I11" i="34"/>
  <c r="D35" i="24"/>
  <c r="H11" i="16"/>
  <c r="J11" i="16"/>
  <c r="H16" i="16"/>
  <c r="H32" i="24" s="1"/>
  <c r="I16" i="16"/>
  <c r="D15" i="24" l="1"/>
  <c r="I32" i="24"/>
  <c r="E35" i="24"/>
  <c r="H16" i="34"/>
  <c r="C15" i="24"/>
  <c r="H11" i="34"/>
  <c r="C35" i="24"/>
  <c r="I16" i="34"/>
  <c r="J11" i="34"/>
  <c r="C8" i="21"/>
  <c r="C12" i="21" s="1"/>
  <c r="C13" i="21" s="1"/>
  <c r="D8" i="21"/>
  <c r="D12" i="21" s="1"/>
  <c r="D13" i="21" s="1"/>
  <c r="B8" i="21"/>
  <c r="B12" i="21" s="1"/>
  <c r="B13" i="21" s="1"/>
  <c r="H6" i="15" l="1"/>
  <c r="B29" i="21"/>
  <c r="B32" i="21" s="1"/>
  <c r="B35" i="21" s="1"/>
  <c r="B39" i="21" s="1"/>
  <c r="B40" i="21" s="1"/>
  <c r="B18" i="21"/>
  <c r="B22" i="21" s="1"/>
  <c r="B23" i="21" s="1"/>
  <c r="C29" i="21"/>
  <c r="C32" i="21" s="1"/>
  <c r="C35" i="21" s="1"/>
  <c r="C39" i="21" s="1"/>
  <c r="C40" i="21" s="1"/>
  <c r="C18" i="21"/>
  <c r="C22" i="21" s="1"/>
  <c r="C23" i="21" s="1"/>
  <c r="D29" i="21"/>
  <c r="D32" i="21" s="1"/>
  <c r="D35" i="21" s="1"/>
  <c r="D39" i="21" s="1"/>
  <c r="D40" i="21" s="1"/>
  <c r="D18" i="21"/>
  <c r="D22" i="21" s="1"/>
  <c r="D23" i="21" s="1"/>
  <c r="H5" i="15" s="1"/>
  <c r="H7" i="15" l="1"/>
  <c r="B22" i="34"/>
  <c r="C46" i="21"/>
  <c r="I23" i="21"/>
  <c r="G46" i="21"/>
  <c r="B46" i="21"/>
  <c r="D46" i="21"/>
  <c r="H8" i="21"/>
  <c r="H10" i="21" s="1"/>
  <c r="H9" i="42" s="1"/>
  <c r="C45" i="24"/>
  <c r="F22" i="34" l="1"/>
  <c r="I46" i="21"/>
  <c r="J23" i="21"/>
  <c r="H23" i="21"/>
  <c r="D45" i="24"/>
  <c r="I8" i="21"/>
  <c r="I9" i="21"/>
  <c r="H11" i="21"/>
  <c r="H12" i="21" s="1"/>
  <c r="J8" i="21"/>
  <c r="B9" i="40" l="1"/>
  <c r="C6" i="24" s="1"/>
  <c r="C7" i="24" s="1"/>
  <c r="C31" i="24" s="1"/>
  <c r="F21" i="38"/>
  <c r="F22" i="38" s="1"/>
  <c r="F25" i="38" s="1"/>
  <c r="H46" i="21"/>
  <c r="J46" i="21"/>
  <c r="D22" i="34"/>
  <c r="G22" i="34"/>
  <c r="C22" i="34"/>
  <c r="H9" i="29"/>
  <c r="H11" i="29" s="1"/>
  <c r="H5" i="29" s="1"/>
  <c r="H14" i="16" s="1"/>
  <c r="H14" i="34" s="1"/>
  <c r="E45" i="24"/>
  <c r="I10" i="21"/>
  <c r="J9" i="21" l="1"/>
  <c r="J10" i="21" s="1"/>
  <c r="J9" i="42" s="1"/>
  <c r="I9" i="42"/>
  <c r="G21" i="38"/>
  <c r="G22" i="38" s="1"/>
  <c r="G25" i="38" s="1"/>
  <c r="D21" i="38"/>
  <c r="D22" i="38" s="1"/>
  <c r="D25" i="38" s="1"/>
  <c r="C21" i="38"/>
  <c r="H35" i="24"/>
  <c r="C42" i="24"/>
  <c r="I11" i="21"/>
  <c r="I12" i="21" s="1"/>
  <c r="D9" i="40" l="1"/>
  <c r="E6" i="24" s="1"/>
  <c r="E7" i="24" s="1"/>
  <c r="E31" i="24" s="1"/>
  <c r="C9" i="40"/>
  <c r="B29" i="38"/>
  <c r="C22" i="38"/>
  <c r="J9" i="29"/>
  <c r="J11" i="29" s="1"/>
  <c r="J5" i="29" s="1"/>
  <c r="J14" i="16" s="1"/>
  <c r="I9" i="29"/>
  <c r="I11" i="29" s="1"/>
  <c r="I5" i="29" s="1"/>
  <c r="I14" i="16" s="1"/>
  <c r="I14" i="34" s="1"/>
  <c r="J11" i="21"/>
  <c r="J12" i="21" s="1"/>
  <c r="J35" i="24" l="1"/>
  <c r="I35" i="24"/>
  <c r="D6" i="24"/>
  <c r="D7" i="24" s="1"/>
  <c r="D31" i="24" s="1"/>
  <c r="H45" i="42"/>
  <c r="B45" i="40" s="1"/>
  <c r="J14" i="34"/>
  <c r="C25" i="38"/>
  <c r="B30" i="38"/>
  <c r="B31" i="38" s="1"/>
  <c r="H51" i="15" s="1"/>
  <c r="E42" i="24"/>
  <c r="D42" i="24"/>
  <c r="C49" i="24" l="1"/>
  <c r="J13" i="34"/>
  <c r="I13" i="34"/>
  <c r="H13" i="34"/>
  <c r="H17" i="34" l="1"/>
  <c r="H18" i="34" s="1"/>
  <c r="I17" i="34"/>
  <c r="I18" i="34" s="1"/>
  <c r="J17" i="34"/>
  <c r="J18" i="34" s="1"/>
  <c r="J19" i="34" l="1"/>
  <c r="J9" i="28"/>
  <c r="J15" i="28" s="1"/>
  <c r="I19" i="34"/>
  <c r="I9" i="28"/>
  <c r="I15" i="28" s="1"/>
  <c r="H19" i="34"/>
  <c r="H9" i="28"/>
  <c r="H15" i="28" s="1"/>
  <c r="J21" i="28" l="1"/>
  <c r="J9" i="26" s="1"/>
  <c r="J15" i="26" s="1"/>
  <c r="J9" i="16" s="1"/>
  <c r="J20" i="28"/>
  <c r="J22" i="28"/>
  <c r="J10" i="27" s="1"/>
  <c r="J17" i="27" s="1"/>
  <c r="J10" i="16" s="1"/>
  <c r="E24" i="24" s="1"/>
  <c r="E26" i="24" s="1"/>
  <c r="E34" i="24" s="1"/>
  <c r="H20" i="28"/>
  <c r="H21" i="28"/>
  <c r="H22" i="28"/>
  <c r="I22" i="28"/>
  <c r="I10" i="27" s="1"/>
  <c r="I17" i="27" s="1"/>
  <c r="I10" i="16" s="1"/>
  <c r="D24" i="24" s="1"/>
  <c r="D26" i="24" s="1"/>
  <c r="D34" i="24" s="1"/>
  <c r="I20" i="28"/>
  <c r="I21" i="28"/>
  <c r="K11" i="33" l="1"/>
  <c r="J23" i="28"/>
  <c r="E19" i="24"/>
  <c r="E21" i="24" s="1"/>
  <c r="E33" i="24"/>
  <c r="H10" i="27"/>
  <c r="H17" i="27" s="1"/>
  <c r="H10" i="16" s="1"/>
  <c r="C24" i="24" s="1"/>
  <c r="C26" i="24" s="1"/>
  <c r="C34" i="24" s="1"/>
  <c r="H9" i="26"/>
  <c r="H15" i="26" s="1"/>
  <c r="H9" i="16" s="1"/>
  <c r="C19" i="24" s="1"/>
  <c r="C21" i="24" s="1"/>
  <c r="C33" i="24" s="1"/>
  <c r="I9" i="26"/>
  <c r="I15" i="26" s="1"/>
  <c r="I9" i="16" s="1"/>
  <c r="I23" i="28"/>
  <c r="J11" i="33"/>
  <c r="H23" i="28"/>
  <c r="I11" i="33"/>
  <c r="K12" i="33" l="1"/>
  <c r="K8" i="33"/>
  <c r="J7" i="16" s="1"/>
  <c r="D19" i="24"/>
  <c r="D21" i="24" s="1"/>
  <c r="D33" i="24" s="1"/>
  <c r="I8" i="33"/>
  <c r="H7" i="16" s="1"/>
  <c r="I12" i="33"/>
  <c r="J8" i="33"/>
  <c r="J12" i="33"/>
  <c r="J29" i="21" l="1"/>
  <c r="J18" i="21"/>
  <c r="J8" i="16"/>
  <c r="J13" i="16" s="1"/>
  <c r="J31" i="24" s="1"/>
  <c r="I7" i="16"/>
  <c r="H18" i="21"/>
  <c r="H20" i="21" s="1"/>
  <c r="H8" i="16"/>
  <c r="H13" i="16" s="1"/>
  <c r="H31" i="24" s="1"/>
  <c r="H29" i="21"/>
  <c r="L25" i="15" l="1"/>
  <c r="N25" i="15"/>
  <c r="J17" i="16"/>
  <c r="J18" i="16" s="1"/>
  <c r="J33" i="24" s="1"/>
  <c r="I19" i="21"/>
  <c r="H12" i="42"/>
  <c r="I29" i="21"/>
  <c r="I18" i="21"/>
  <c r="I8" i="16"/>
  <c r="I13" i="16" s="1"/>
  <c r="I31" i="24" s="1"/>
  <c r="H21" i="21"/>
  <c r="H22" i="21" s="1"/>
  <c r="H17" i="16"/>
  <c r="M25" i="15" l="1"/>
  <c r="J19" i="16"/>
  <c r="E37" i="24"/>
  <c r="J20" i="34"/>
  <c r="I20" i="21"/>
  <c r="I21" i="21" s="1"/>
  <c r="I22" i="21" s="1"/>
  <c r="B12" i="40"/>
  <c r="H31" i="21"/>
  <c r="H32" i="21" s="1"/>
  <c r="H35" i="21" s="1"/>
  <c r="C10" i="24" s="1"/>
  <c r="I17" i="16"/>
  <c r="H18" i="16"/>
  <c r="H33" i="24" s="1"/>
  <c r="J21" i="34" l="1"/>
  <c r="J24" i="34"/>
  <c r="N26" i="15" s="1"/>
  <c r="J23" i="34"/>
  <c r="J11" i="38"/>
  <c r="J21" i="38"/>
  <c r="J22" i="38" s="1"/>
  <c r="N28" i="15"/>
  <c r="J19" i="21"/>
  <c r="J20" i="21" s="1"/>
  <c r="J12" i="42" s="1"/>
  <c r="I12" i="42"/>
  <c r="I31" i="21" s="1"/>
  <c r="J30" i="21" s="1"/>
  <c r="H37" i="21"/>
  <c r="H38" i="21" s="1"/>
  <c r="H39" i="21" s="1"/>
  <c r="I30" i="21"/>
  <c r="H36" i="24"/>
  <c r="I18" i="16"/>
  <c r="I33" i="24" s="1"/>
  <c r="C37" i="24"/>
  <c r="H20" i="34"/>
  <c r="H24" i="34" s="1"/>
  <c r="L26" i="15" s="1"/>
  <c r="H19" i="16"/>
  <c r="E48" i="24" l="1"/>
  <c r="J25" i="38"/>
  <c r="N38" i="15"/>
  <c r="N42" i="15"/>
  <c r="H11" i="38"/>
  <c r="I13" i="38" s="1"/>
  <c r="I15" i="38" s="1"/>
  <c r="L28" i="15"/>
  <c r="J21" i="21"/>
  <c r="J22" i="21" s="1"/>
  <c r="D12" i="40"/>
  <c r="J36" i="24" s="1"/>
  <c r="J31" i="21"/>
  <c r="J32" i="21" s="1"/>
  <c r="I32" i="21"/>
  <c r="I37" i="21" s="1"/>
  <c r="C12" i="40"/>
  <c r="I36" i="24" s="1"/>
  <c r="H43" i="21"/>
  <c r="H29" i="42" s="1"/>
  <c r="I36" i="21"/>
  <c r="H21" i="38"/>
  <c r="H22" i="38" s="1"/>
  <c r="I19" i="16"/>
  <c r="D37" i="24"/>
  <c r="I20" i="34"/>
  <c r="I24" i="34" s="1"/>
  <c r="M26" i="15" s="1"/>
  <c r="H21" i="34"/>
  <c r="H23" i="34"/>
  <c r="L42" i="15" l="1"/>
  <c r="I11" i="38"/>
  <c r="J13" i="38" s="1"/>
  <c r="J15" i="38" s="1"/>
  <c r="M28" i="15"/>
  <c r="I35" i="21"/>
  <c r="D10" i="24" s="1"/>
  <c r="H44" i="21"/>
  <c r="H30" i="42" s="1"/>
  <c r="B30" i="40" s="1"/>
  <c r="C12" i="24" s="1"/>
  <c r="B29" i="40"/>
  <c r="C11" i="24" s="1"/>
  <c r="I21" i="38"/>
  <c r="I22" i="38" s="1"/>
  <c r="L38" i="15"/>
  <c r="I21" i="34"/>
  <c r="I23" i="34"/>
  <c r="J36" i="21"/>
  <c r="I43" i="21"/>
  <c r="I38" i="21"/>
  <c r="J35" i="21"/>
  <c r="E10" i="24" s="1"/>
  <c r="J37" i="21"/>
  <c r="M42" i="15" l="1"/>
  <c r="I39" i="21"/>
  <c r="H34" i="42"/>
  <c r="C16" i="24"/>
  <c r="C32" i="24" s="1"/>
  <c r="C38" i="24" s="1"/>
  <c r="I25" i="38"/>
  <c r="M38" i="15"/>
  <c r="I45" i="42"/>
  <c r="C45" i="40" s="1"/>
  <c r="I44" i="21"/>
  <c r="I30" i="42" s="1"/>
  <c r="I29" i="42"/>
  <c r="H25" i="38"/>
  <c r="C48" i="24"/>
  <c r="C51" i="24" s="1"/>
  <c r="J45" i="42"/>
  <c r="H23" i="38"/>
  <c r="H46" i="42" s="1"/>
  <c r="H48" i="42" s="1"/>
  <c r="L32" i="15" s="1"/>
  <c r="L41" i="15" s="1"/>
  <c r="D48" i="24"/>
  <c r="H37" i="24"/>
  <c r="H38" i="24" s="1"/>
  <c r="J43" i="21"/>
  <c r="J38" i="21"/>
  <c r="J39" i="21" s="1"/>
  <c r="H40" i="42" l="1"/>
  <c r="L31" i="15" s="1"/>
  <c r="L35" i="15"/>
  <c r="C30" i="40"/>
  <c r="D12" i="24" s="1"/>
  <c r="I34" i="42"/>
  <c r="J44" i="21"/>
  <c r="J30" i="42" s="1"/>
  <c r="J29" i="42"/>
  <c r="C29" i="40"/>
  <c r="D11" i="24" s="1"/>
  <c r="I20" i="38"/>
  <c r="I23" i="38" s="1"/>
  <c r="B46" i="40"/>
  <c r="B51" i="40" s="1"/>
  <c r="D45" i="40"/>
  <c r="D49" i="24"/>
  <c r="D51" i="24" s="1"/>
  <c r="H8" i="42" l="1"/>
  <c r="L37" i="15" s="1"/>
  <c r="H49" i="42"/>
  <c r="I40" i="42"/>
  <c r="M31" i="15" s="1"/>
  <c r="M35" i="15"/>
  <c r="D16" i="24"/>
  <c r="D32" i="24" s="1"/>
  <c r="D38" i="24" s="1"/>
  <c r="D30" i="40"/>
  <c r="E12" i="24" s="1"/>
  <c r="J20" i="38"/>
  <c r="J23" i="38" s="1"/>
  <c r="J46" i="42" s="1"/>
  <c r="J48" i="42" s="1"/>
  <c r="N32" i="15" s="1"/>
  <c r="N41" i="15" s="1"/>
  <c r="I46" i="42"/>
  <c r="I48" i="42" s="1"/>
  <c r="J34" i="42"/>
  <c r="D29" i="40"/>
  <c r="E11" i="24" s="1"/>
  <c r="E49" i="24"/>
  <c r="E51" i="24" s="1"/>
  <c r="I37" i="24"/>
  <c r="I38" i="24" s="1"/>
  <c r="H15" i="42" l="1"/>
  <c r="H24" i="42" s="1"/>
  <c r="L30" i="15" s="1"/>
  <c r="L40" i="15" s="1"/>
  <c r="J40" i="42"/>
  <c r="N31" i="15" s="1"/>
  <c r="N35" i="15"/>
  <c r="I49" i="42"/>
  <c r="I8" i="42" s="1"/>
  <c r="I15" i="42" s="1"/>
  <c r="M32" i="15"/>
  <c r="M41" i="15" s="1"/>
  <c r="E16" i="24"/>
  <c r="E32" i="24" s="1"/>
  <c r="E38" i="24" s="1"/>
  <c r="C46" i="40"/>
  <c r="C51" i="40" s="1"/>
  <c r="D46" i="40"/>
  <c r="D51" i="40" s="1"/>
  <c r="J37" i="24"/>
  <c r="J38" i="24" s="1"/>
  <c r="M37" i="15" l="1"/>
  <c r="J49" i="42"/>
  <c r="J8" i="42" s="1"/>
  <c r="J15" i="42" s="1"/>
  <c r="L34" i="15"/>
  <c r="I24" i="42"/>
  <c r="M30" i="15" s="1"/>
  <c r="M40" i="15" s="1"/>
  <c r="M34" i="15"/>
  <c r="D63" i="24"/>
  <c r="E60" i="24"/>
  <c r="D60" i="24"/>
  <c r="C63" i="24"/>
  <c r="N37" i="15" l="1"/>
  <c r="J24" i="42"/>
  <c r="N30" i="15" s="1"/>
  <c r="N40" i="15" s="1"/>
  <c r="N34" i="15"/>
  <c r="E63" i="24"/>
  <c r="C59" i="24" l="1"/>
  <c r="L44" i="15"/>
  <c r="D59" i="24"/>
  <c r="E59" i="24"/>
  <c r="M44" i="15"/>
  <c r="N44" i="15"/>
  <c r="E61" i="24" l="1"/>
  <c r="E65" i="24" s="1"/>
  <c r="E67" i="24"/>
  <c r="D58" i="24"/>
  <c r="D67" i="24"/>
  <c r="C58" i="24"/>
  <c r="C67" i="24"/>
  <c r="E58" i="24"/>
  <c r="D61" i="24"/>
  <c r="D65" i="24" s="1"/>
  <c r="C61" i="24"/>
  <c r="C65" i="24" s="1"/>
</calcChain>
</file>

<file path=xl/sharedStrings.xml><?xml version="1.0" encoding="utf-8"?>
<sst xmlns="http://schemas.openxmlformats.org/spreadsheetml/2006/main" count="506" uniqueCount="262">
  <si>
    <t>CUENTA</t>
  </si>
  <si>
    <t>Activos</t>
  </si>
  <si>
    <t>Activos Corrientes</t>
  </si>
  <si>
    <t>Efectivo y Equivalentes al Efectivo</t>
  </si>
  <si>
    <t>Cuentas por Cobrar Comerciales</t>
  </si>
  <si>
    <t>Cuentas por Cobrar a Entidades Relacionadas</t>
  </si>
  <si>
    <t>Otras Cuentas por Cobrar</t>
  </si>
  <si>
    <t>Inventarios</t>
  </si>
  <si>
    <t>Total Activos Corrientes</t>
  </si>
  <si>
    <t>Activos No Corrientes</t>
  </si>
  <si>
    <t>Propiedades de Inversión</t>
  </si>
  <si>
    <t>Propiedades, Planta y Equipo</t>
  </si>
  <si>
    <t>Total Activos No Corrientes</t>
  </si>
  <si>
    <t>TOTAL DE ACTIVOS</t>
  </si>
  <si>
    <t>Pasivos y Patrimonio</t>
  </si>
  <si>
    <t>Pasivos Corrientes</t>
  </si>
  <si>
    <t>Cuentas por Pagar Comerciales</t>
  </si>
  <si>
    <t>Cuentas por Pagar a Entidades Relacionadas</t>
  </si>
  <si>
    <t>Otras Cuentas por Pagar</t>
  </si>
  <si>
    <t>Total Pasivos Corrientes</t>
  </si>
  <si>
    <t>Pasivos No Corrientes</t>
  </si>
  <si>
    <t>Total Pasivos No Corrientes</t>
  </si>
  <si>
    <t>Total Pasivos</t>
  </si>
  <si>
    <t>Patrimonio</t>
  </si>
  <si>
    <t>Capital Emitido</t>
  </si>
  <si>
    <t>Otras Reservas de Capital</t>
  </si>
  <si>
    <t>Resultados Acumulados</t>
  </si>
  <si>
    <t>Total Patrimonio</t>
  </si>
  <si>
    <t>TOTAL PASIVO Y PATRIMONIO</t>
  </si>
  <si>
    <t>Costo de Ventas</t>
  </si>
  <si>
    <t>Ganancia (Pérdida) Bruta</t>
  </si>
  <si>
    <t>Gastos de Ventas y Distribución</t>
  </si>
  <si>
    <t>Gastos de Administración</t>
  </si>
  <si>
    <t>Ingresos Financieros</t>
  </si>
  <si>
    <t>Gastos Financieros</t>
  </si>
  <si>
    <t>Activos Intangibles Distintos de la Plusvalía</t>
  </si>
  <si>
    <t>Otros Pasivos Financieros</t>
  </si>
  <si>
    <t>Acciones de Inversión</t>
  </si>
  <si>
    <t>Otras Reservas de Patrimonio</t>
  </si>
  <si>
    <t>Otros Activos no financieros</t>
  </si>
  <si>
    <t>Inversiones en subsidiarias, negocios conjuntos y asociadas</t>
  </si>
  <si>
    <t>Pasivos por impuestos diferidos</t>
  </si>
  <si>
    <t>INDECO S.A.ESTADOS FINANCIEROS</t>
  </si>
  <si>
    <t>Ingresos de actividades ordinarias</t>
  </si>
  <si>
    <t>Otros Ingresos Operativos</t>
  </si>
  <si>
    <t>Otros Gastos Operativos</t>
  </si>
  <si>
    <t>Ganancia (Pérdida) por actividades de operación</t>
  </si>
  <si>
    <t>Diferencias de Cambio neto</t>
  </si>
  <si>
    <t>Resultado antes de Impuesto a las Ganancias</t>
  </si>
  <si>
    <t>Ganancia (Pérdida) Neta del Ejercicio</t>
  </si>
  <si>
    <t>Ingreso (Gasto) por Impuesto</t>
  </si>
  <si>
    <r>
      <t>INDECO S.A.ESTADOS FINANCIEROS</t>
    </r>
    <r>
      <rPr>
        <sz val="11"/>
        <color theme="1"/>
        <rFont val="Calibri"/>
        <family val="2"/>
        <scheme val="minor"/>
      </rPr>
      <t/>
    </r>
  </si>
  <si>
    <t>Factoring con proveedores</t>
  </si>
  <si>
    <t>Pasivos por arrendamientos</t>
  </si>
  <si>
    <t>Gastos pagados por anticipado</t>
  </si>
  <si>
    <t>Activos por Impuestos a las Ganancias</t>
  </si>
  <si>
    <t>Activos por Impuestos Diferidos</t>
  </si>
  <si>
    <t>Fuente: EEFF Auditados</t>
  </si>
  <si>
    <t>Tasa IR</t>
  </si>
  <si>
    <t>Ventas</t>
  </si>
  <si>
    <t>CxC Prom</t>
  </si>
  <si>
    <t>Rotación CxC</t>
  </si>
  <si>
    <t>PPC</t>
  </si>
  <si>
    <t>SUPUESTOS PARA EL ESTADO DE RESULTADOS</t>
  </si>
  <si>
    <t>SUPUESTOS PARA EL ESTADO DE SITUACIÓN FINANCIERA</t>
  </si>
  <si>
    <t>PPI</t>
  </si>
  <si>
    <t>PPP</t>
  </si>
  <si>
    <t>FACTORING/CxP</t>
  </si>
  <si>
    <t>CxC Inicio</t>
  </si>
  <si>
    <t>CxC Fin</t>
  </si>
  <si>
    <t>Saldo</t>
  </si>
  <si>
    <t>Cobro</t>
  </si>
  <si>
    <t>Inventarios Prom</t>
  </si>
  <si>
    <t>Rotación Inventarios</t>
  </si>
  <si>
    <t>INVENTARIOS</t>
  </si>
  <si>
    <t>Inv Inicial</t>
  </si>
  <si>
    <t>Inv Final</t>
  </si>
  <si>
    <t>Inversiones en subsidiarias</t>
  </si>
  <si>
    <t>Variaciones</t>
  </si>
  <si>
    <t>Depreciación Anual</t>
  </si>
  <si>
    <t>Costo Inicio</t>
  </si>
  <si>
    <t>Costo Fin</t>
  </si>
  <si>
    <t>(+) Adiciones</t>
  </si>
  <si>
    <t>(-) Retiros</t>
  </si>
  <si>
    <t>(-) Transferencias</t>
  </si>
  <si>
    <t>Compras</t>
  </si>
  <si>
    <t>CxP</t>
  </si>
  <si>
    <t>CxP Prom</t>
  </si>
  <si>
    <t>Rotación CxP</t>
  </si>
  <si>
    <t xml:space="preserve">    Factoring con proveedores</t>
  </si>
  <si>
    <t>CxP Inicio</t>
  </si>
  <si>
    <t>CxP Fin</t>
  </si>
  <si>
    <t>UDI</t>
  </si>
  <si>
    <t>Reserva Legal Teorica</t>
  </si>
  <si>
    <t>% Reserva Legal Anual</t>
  </si>
  <si>
    <t>% Max Reserva Legal</t>
  </si>
  <si>
    <t>Reserva Legal Máxima</t>
  </si>
  <si>
    <t>Pago Dividendos</t>
  </si>
  <si>
    <t>Ratio Pago de Dividendos</t>
  </si>
  <si>
    <t>(-) Depreciación historico anual</t>
  </si>
  <si>
    <t>(-) Depreciación adiciones</t>
  </si>
  <si>
    <t>COBRANZA A ENTIDADES RELACIONADAS</t>
  </si>
  <si>
    <t>CCE</t>
  </si>
  <si>
    <t>PATRIMONIO</t>
  </si>
  <si>
    <t>Variaciones Capital</t>
  </si>
  <si>
    <t>Cuentas por pagar</t>
  </si>
  <si>
    <t>Relacionado con la Reserva Legal</t>
  </si>
  <si>
    <t>Relacionado con el resultado acumulado</t>
  </si>
  <si>
    <t>Fuentes-Usos</t>
  </si>
  <si>
    <t>2025/2024</t>
  </si>
  <si>
    <t>METODO INDIRECTO</t>
  </si>
  <si>
    <t>METODO DIRECTO</t>
  </si>
  <si>
    <t>Ingresos</t>
  </si>
  <si>
    <t>IR</t>
  </si>
  <si>
    <t>FC efectivo por actividades de operación</t>
  </si>
  <si>
    <t>Deuda</t>
  </si>
  <si>
    <t>Pago de dividendos</t>
  </si>
  <si>
    <t>Reserva Legal</t>
  </si>
  <si>
    <t>Otras reservas de patrimonio</t>
  </si>
  <si>
    <t>FC efectivo por actividades de financiamiento</t>
  </si>
  <si>
    <t>FC efectivo por actividades de inversión</t>
  </si>
  <si>
    <t>Efectivo Generado</t>
  </si>
  <si>
    <t>Saldo Inicial</t>
  </si>
  <si>
    <t>Saldo Final</t>
  </si>
  <si>
    <t>Comprobación</t>
  </si>
  <si>
    <t>Según Estado de Situación Financiera</t>
  </si>
  <si>
    <t>(*) Compras</t>
  </si>
  <si>
    <t>(*) Incluye diferencias de cambio neto</t>
  </si>
  <si>
    <t>Servicios Recibidos</t>
  </si>
  <si>
    <t>Gastos de Personal</t>
  </si>
  <si>
    <t>Cargas diversas de gestión</t>
  </si>
  <si>
    <t>Depreciación por derecho de uso</t>
  </si>
  <si>
    <t>Depreciación por IME</t>
  </si>
  <si>
    <t>Tributos</t>
  </si>
  <si>
    <t>Amortización Intangibles</t>
  </si>
  <si>
    <t>Cargas Diversas de gestión</t>
  </si>
  <si>
    <t>Provisiones por perdida crediticia</t>
  </si>
  <si>
    <t>Remuneraciones</t>
  </si>
  <si>
    <t>Participación a los trabajadores</t>
  </si>
  <si>
    <t>Gratificaciones</t>
  </si>
  <si>
    <t>CTS</t>
  </si>
  <si>
    <t>Contribuciones sociales</t>
  </si>
  <si>
    <t>Vacaciones</t>
  </si>
  <si>
    <t>Otros</t>
  </si>
  <si>
    <t>Gasto de Ventas</t>
  </si>
  <si>
    <t>Gasto de Administración</t>
  </si>
  <si>
    <t>Partip Trab</t>
  </si>
  <si>
    <t>(-) Aporte a la subsidiria</t>
  </si>
  <si>
    <t>(+) Transferencias desde propiedades</t>
  </si>
  <si>
    <t>GASTO DE VENTAS</t>
  </si>
  <si>
    <t>GASTO DE ADMINISTRACIÓN</t>
  </si>
  <si>
    <t>Tasa Ingresos Financieros</t>
  </si>
  <si>
    <t>Tasa Gastos Financieros</t>
  </si>
  <si>
    <t>Asignación</t>
  </si>
  <si>
    <t>DEPRECIACIÓN</t>
  </si>
  <si>
    <t>OTROS</t>
  </si>
  <si>
    <t>PARTICIPACION TRABAJADORES E IR</t>
  </si>
  <si>
    <t>Tasa Asignación Gasto de Personal</t>
  </si>
  <si>
    <t>Tasa Asignación Depreciación</t>
  </si>
  <si>
    <t>Tasa Efectiva IR</t>
  </si>
  <si>
    <t>Total Sin Partic Trabajadores</t>
  </si>
  <si>
    <t>Total Sin Gasto de Personal</t>
  </si>
  <si>
    <t>Costo de Ventas Sin Gasto Personal</t>
  </si>
  <si>
    <t>Gasto de Personal</t>
  </si>
  <si>
    <t>Base Participación Trabajadores</t>
  </si>
  <si>
    <t>IME</t>
  </si>
  <si>
    <t>Ventas Nacionales</t>
  </si>
  <si>
    <t>Ventas Exterior</t>
  </si>
  <si>
    <t>Ventas a partes relacionadas</t>
  </si>
  <si>
    <t>Compra Activo</t>
  </si>
  <si>
    <t>Pago Arrendamientos</t>
  </si>
  <si>
    <t>Costo Ventas Sin Gasto de Personal</t>
  </si>
  <si>
    <t>Utilidad del año</t>
  </si>
  <si>
    <t>Dividendos</t>
  </si>
  <si>
    <t>VENTAS</t>
  </si>
  <si>
    <t>COSTO DE VENTAS</t>
  </si>
  <si>
    <t>GASTOS DE PERSONAL</t>
  </si>
  <si>
    <t>FONDO DE MANIOBRA</t>
  </si>
  <si>
    <t>Variaciones Capital Social</t>
  </si>
  <si>
    <t>INVERSIONES EN SUBSIDIARIAS</t>
  </si>
  <si>
    <t>% Corriente</t>
  </si>
  <si>
    <t>ARRENDAMIENTOS</t>
  </si>
  <si>
    <t>Pasivo por arrendamiento</t>
  </si>
  <si>
    <t>% Porción Cte</t>
  </si>
  <si>
    <t>-Variación CxP</t>
  </si>
  <si>
    <t>- Variación CxC</t>
  </si>
  <si>
    <t>Ventas Cobradas</t>
  </si>
  <si>
    <t>Compras Pagadas</t>
  </si>
  <si>
    <t>Depreciación</t>
  </si>
  <si>
    <t>-Variación CxC</t>
  </si>
  <si>
    <t>-Variación Inventarios</t>
  </si>
  <si>
    <t>+Variación CxP</t>
  </si>
  <si>
    <t>Supuestos</t>
  </si>
  <si>
    <t>Estado de Resultados</t>
  </si>
  <si>
    <t>Estado de Situación Financiera</t>
  </si>
  <si>
    <t>Estado de Cambios de Patrimonio</t>
  </si>
  <si>
    <t>Estado de Flujos de Efectivo</t>
  </si>
  <si>
    <t>Otros Gastos</t>
  </si>
  <si>
    <t>Fondo de Maniobra</t>
  </si>
  <si>
    <t>Otras cuentas del activo</t>
  </si>
  <si>
    <t>Pasivo por Arrendamiento</t>
  </si>
  <si>
    <t>Fuentes Usos</t>
  </si>
  <si>
    <t>MENU</t>
  </si>
  <si>
    <t>Essalud</t>
  </si>
  <si>
    <t>Cobranza a Entidades Relacionadas</t>
  </si>
  <si>
    <t>OTRAS CUENTAS POR PAGAR</t>
  </si>
  <si>
    <t>Otras cuentas por Pagar</t>
  </si>
  <si>
    <t>Venta Activo</t>
  </si>
  <si>
    <t>Venta de Activo</t>
  </si>
  <si>
    <t>&lt;-Viene del Estado de Situación Financiera, el criterio fue un calculo que cuadre el balance</t>
  </si>
  <si>
    <t>&lt;-Viene del Estado de Flujo de Efectivo, el criterio fue entradas y salidas de efectivo</t>
  </si>
  <si>
    <t>2026/2025</t>
  </si>
  <si>
    <t>IR + PT</t>
  </si>
  <si>
    <t>ESCENARIOS</t>
  </si>
  <si>
    <t>Optimista</t>
  </si>
  <si>
    <t>Base</t>
  </si>
  <si>
    <t>Pesimista</t>
  </si>
  <si>
    <t>Escenario</t>
  </si>
  <si>
    <t>Nacionales</t>
  </si>
  <si>
    <t>Exterior</t>
  </si>
  <si>
    <t>Relacionados</t>
  </si>
  <si>
    <t>Tasa de Crecimiento de Ventas</t>
  </si>
  <si>
    <t>RESULTADOS</t>
  </si>
  <si>
    <t>Total Arrendamiento</t>
  </si>
  <si>
    <t>Total  arrendamiento</t>
  </si>
  <si>
    <t>Total</t>
  </si>
  <si>
    <t>+Depreciacion</t>
  </si>
  <si>
    <t>2019-2024</t>
  </si>
  <si>
    <t>2027/2026</t>
  </si>
  <si>
    <t xml:space="preserve">Estados Financieros </t>
  </si>
  <si>
    <t>Cuentas Estado de Resultados</t>
  </si>
  <si>
    <t>Cuentas Estado de Situación Financiera</t>
  </si>
  <si>
    <t>Supuestos Generales</t>
  </si>
  <si>
    <t>Cuentas Estado de Flujo de Efectivo</t>
  </si>
  <si>
    <t>Periodo Promedio de CxC (PPC)</t>
  </si>
  <si>
    <t>Periodo Promedio de Inv (PPI)</t>
  </si>
  <si>
    <t>Periodo Promedio de CxP (PPP)</t>
  </si>
  <si>
    <t>Valor Historico</t>
  </si>
  <si>
    <t>OTRAS CXC</t>
  </si>
  <si>
    <t>Adiciones</t>
  </si>
  <si>
    <t>Resultado Ejercicio</t>
  </si>
  <si>
    <t>Total Activos</t>
  </si>
  <si>
    <t>Total Activo Cte</t>
  </si>
  <si>
    <t>Total Pasivo Cte</t>
  </si>
  <si>
    <t>EBITDA</t>
  </si>
  <si>
    <t>NOPAT</t>
  </si>
  <si>
    <t>Tasa Efectiva IR + PT</t>
  </si>
  <si>
    <t>ROA</t>
  </si>
  <si>
    <t>ROE</t>
  </si>
  <si>
    <t>ROS</t>
  </si>
  <si>
    <t>Caja y equivalentes</t>
  </si>
  <si>
    <t>Flujo Operativo</t>
  </si>
  <si>
    <t>2024-2019</t>
  </si>
  <si>
    <t>2024-2022</t>
  </si>
  <si>
    <t>Depreciación Activos por derecho de uso</t>
  </si>
  <si>
    <t>Gasto Administración</t>
  </si>
  <si>
    <t>Activos por Derecho de Uso</t>
  </si>
  <si>
    <t>Depreciación Act por Derecho de Uso</t>
  </si>
  <si>
    <t>% Asignación Gasto Administración</t>
  </si>
  <si>
    <t>% Asignación Gasto de Ventas</t>
  </si>
  <si>
    <t>Activos por derecho de uso Fin</t>
  </si>
  <si>
    <t>Activos por derecho de uso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</si>
</sst>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_ ;\-#,##0\ "/>
    <numFmt numFmtId="167" formatCode="_-* #,##0.00\ _€_-;\-* #,##0.00\ _€_-;_-* &quot;-&quot;??\ _€_-;_-@_-"/>
    <numFmt numFmtId="168" formatCode="_ * #,##0.00_ ;_ * \-#,##0.00_ ;_ * &quot;-&quot;??_ ;_ @_ "/>
    <numFmt numFmtId="169" formatCode="0.000%"/>
    <numFmt numFmtId="170" formatCode="#,##0.0"/>
    <numFmt numFmtId="171" formatCode="#,##0.00000"/>
    <numFmt numFmtId="172" formatCode="_-* #,##0.0000_-;\-* #,##0.0000_-;_-* &quot;-&quot;??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rgb="FFFFFFFF"/>
      <name val="Trebuchet MS"/>
      <family val="2"/>
    </font>
    <font>
      <b/>
      <sz val="11"/>
      <color rgb="FF696969"/>
      <name val="Trebuchet MS"/>
      <family val="2"/>
    </font>
    <font>
      <b/>
      <sz val="11"/>
      <color rgb="FFD3D3D3"/>
      <name val="Trebuchet MS"/>
      <family val="2"/>
    </font>
    <font>
      <sz val="11"/>
      <color rgb="FF696969"/>
      <name val="Trebuchet MS"/>
      <family val="2"/>
    </font>
    <font>
      <sz val="10"/>
      <name val="Arial"/>
      <family val="2"/>
    </font>
    <font>
      <sz val="1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rebuchet MS"/>
      <family val="2"/>
    </font>
    <font>
      <b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0"/>
      <name val="Trebuchet MS"/>
      <family val="2"/>
    </font>
    <font>
      <sz val="11"/>
      <name val="Calibri"/>
      <family val="2"/>
      <scheme val="minor"/>
    </font>
    <font>
      <sz val="11"/>
      <color rgb="FF0000FF"/>
      <name val="Trebuchet MS"/>
      <family val="2"/>
    </font>
    <font>
      <sz val="12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11"/>
      <color theme="1"/>
      <name val="Trebuchet MS"/>
      <family val="2"/>
    </font>
    <font>
      <b/>
      <u/>
      <sz val="13"/>
      <color theme="1"/>
      <name val="Trebuchet MS"/>
      <family val="2"/>
    </font>
    <font>
      <u/>
      <sz val="13"/>
      <color theme="1"/>
      <name val="Trebuchet MS"/>
      <family val="2"/>
    </font>
    <font>
      <sz val="11"/>
      <color rgb="FFC00000"/>
      <name val="Trebuchet MS"/>
      <family val="2"/>
    </font>
    <font>
      <b/>
      <sz val="10"/>
      <color theme="0"/>
      <name val="Trebuchet MS"/>
      <family val="2"/>
    </font>
    <font>
      <sz val="10"/>
      <color theme="2" tint="-0.749992370372631"/>
      <name val="Trebuchet MS"/>
      <family val="2"/>
    </font>
    <font>
      <sz val="10"/>
      <color rgb="FF0000FF"/>
      <name val="Trebuchet MS"/>
      <family val="2"/>
    </font>
    <font>
      <sz val="10"/>
      <name val="Trebuchet MS"/>
      <family val="2"/>
    </font>
    <font>
      <sz val="8"/>
      <name val="Calibri"/>
      <family val="2"/>
      <scheme val="minor"/>
    </font>
    <font>
      <sz val="10"/>
      <color theme="1"/>
      <name val="Trebuchet MS"/>
      <family val="2"/>
    </font>
    <font>
      <b/>
      <sz val="16"/>
      <name val="Trebuchet MS"/>
      <family val="2"/>
    </font>
    <font>
      <sz val="16"/>
      <color rgb="FF29669C"/>
      <name val="Calibri"/>
      <family val="2"/>
      <scheme val="minor"/>
    </font>
    <font>
      <b/>
      <sz val="16"/>
      <color theme="0"/>
      <name val="Trebuchet MS"/>
      <family val="2"/>
    </font>
    <font>
      <sz val="11"/>
      <color rgb="FFFF0000"/>
      <name val="Trebuchet MS"/>
      <family val="2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6"/>
      <color theme="2" tint="-0.749992370372631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53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9">
    <xf numFmtId="0" fontId="0" fillId="0" borderId="0"/>
    <xf numFmtId="0" fontId="24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168" fontId="26" fillId="0" borderId="0" applyFont="0" applyFill="0" applyBorder="0" applyAlignment="0" applyProtection="0"/>
  </cellStyleXfs>
  <cellXfs count="269">
    <xf numFmtId="0" fontId="0" fillId="0" borderId="0" xfId="0"/>
    <xf numFmtId="0" fontId="19" fillId="0" borderId="0" xfId="0" applyFont="1"/>
    <xf numFmtId="0" fontId="21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horizontal="right" vertical="center" wrapText="1" indent="1"/>
    </xf>
    <xf numFmtId="3" fontId="23" fillId="0" borderId="0" xfId="0" applyNumberFormat="1" applyFont="1" applyAlignment="1">
      <alignment horizontal="right" vertical="center" wrapText="1" indent="1"/>
    </xf>
    <xf numFmtId="3" fontId="21" fillId="2" borderId="0" xfId="0" applyNumberFormat="1" applyFont="1" applyFill="1" applyAlignment="1">
      <alignment horizontal="right" vertical="center" wrapText="1" indent="1"/>
    </xf>
    <xf numFmtId="0" fontId="19" fillId="3" borderId="0" xfId="0" applyFont="1" applyFill="1" applyAlignment="1">
      <alignment horizontal="left" vertical="center" wrapText="1" indent="1"/>
    </xf>
    <xf numFmtId="0" fontId="20" fillId="4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 indent="1"/>
    </xf>
    <xf numFmtId="49" fontId="19" fillId="0" borderId="0" xfId="0" applyNumberFormat="1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17" fillId="0" borderId="0" xfId="0" applyFont="1"/>
    <xf numFmtId="164" fontId="19" fillId="0" borderId="0" xfId="5" applyNumberFormat="1" applyFont="1"/>
    <xf numFmtId="0" fontId="20" fillId="5" borderId="0" xfId="0" applyFont="1" applyFill="1" applyAlignment="1">
      <alignment horizontal="center" vertical="center" wrapText="1"/>
    </xf>
    <xf numFmtId="43" fontId="0" fillId="0" borderId="0" xfId="4" applyFont="1"/>
    <xf numFmtId="165" fontId="0" fillId="0" borderId="0" xfId="4" applyNumberFormat="1" applyFont="1"/>
    <xf numFmtId="165" fontId="0" fillId="0" borderId="0" xfId="0" applyNumberFormat="1"/>
    <xf numFmtId="164" fontId="0" fillId="0" borderId="0" xfId="5" applyNumberFormat="1" applyFont="1"/>
    <xf numFmtId="10" fontId="0" fillId="0" borderId="0" xfId="5" applyNumberFormat="1" applyFont="1"/>
    <xf numFmtId="3" fontId="21" fillId="0" borderId="0" xfId="0" applyNumberFormat="1" applyFont="1" applyAlignment="1">
      <alignment horizontal="right" vertical="center" wrapText="1" indent="1"/>
    </xf>
    <xf numFmtId="3" fontId="0" fillId="0" borderId="1" xfId="0" applyNumberFormat="1" applyBorder="1"/>
    <xf numFmtId="0" fontId="0" fillId="0" borderId="1" xfId="0" applyBorder="1"/>
    <xf numFmtId="0" fontId="27" fillId="0" borderId="0" xfId="0" applyFont="1"/>
    <xf numFmtId="9" fontId="0" fillId="0" borderId="0" xfId="5" applyFont="1"/>
    <xf numFmtId="0" fontId="28" fillId="3" borderId="0" xfId="0" applyFont="1" applyFill="1" applyAlignment="1">
      <alignment horizontal="right" vertical="center" wrapText="1" indent="1"/>
    </xf>
    <xf numFmtId="2" fontId="0" fillId="0" borderId="1" xfId="0" applyNumberFormat="1" applyBorder="1"/>
    <xf numFmtId="0" fontId="27" fillId="0" borderId="2" xfId="0" applyFont="1" applyBorder="1" applyAlignment="1">
      <alignment horizontal="centerContinuous"/>
    </xf>
    <xf numFmtId="0" fontId="27" fillId="0" borderId="3" xfId="0" applyFont="1" applyBorder="1" applyAlignment="1">
      <alignment horizontal="centerContinuous"/>
    </xf>
    <xf numFmtId="0" fontId="27" fillId="0" borderId="4" xfId="0" applyFont="1" applyBorder="1" applyAlignment="1">
      <alignment horizontal="centerContinuous"/>
    </xf>
    <xf numFmtId="0" fontId="16" fillId="0" borderId="0" xfId="0" applyFont="1" applyAlignment="1">
      <alignment horizontal="left" vertical="center" wrapText="1" indent="1"/>
    </xf>
    <xf numFmtId="0" fontId="29" fillId="0" borderId="0" xfId="0" applyFont="1"/>
    <xf numFmtId="3" fontId="0" fillId="0" borderId="0" xfId="0" applyNumberFormat="1"/>
    <xf numFmtId="165" fontId="0" fillId="0" borderId="1" xfId="4" applyNumberFormat="1" applyFont="1" applyBorder="1"/>
    <xf numFmtId="165" fontId="0" fillId="0" borderId="1" xfId="0" applyNumberFormat="1" applyBorder="1"/>
    <xf numFmtId="0" fontId="31" fillId="4" borderId="0" xfId="0" applyFont="1" applyFill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 indent="1"/>
    </xf>
    <xf numFmtId="3" fontId="32" fillId="0" borderId="1" xfId="0" applyNumberFormat="1" applyFont="1" applyBorder="1"/>
    <xf numFmtId="43" fontId="0" fillId="0" borderId="0" xfId="0" applyNumberFormat="1"/>
    <xf numFmtId="10" fontId="0" fillId="0" borderId="0" xfId="0" applyNumberFormat="1"/>
    <xf numFmtId="0" fontId="34" fillId="0" borderId="0" xfId="0" applyFont="1"/>
    <xf numFmtId="0" fontId="35" fillId="0" borderId="0" xfId="0" applyFont="1"/>
    <xf numFmtId="3" fontId="0" fillId="8" borderId="1" xfId="0" applyNumberFormat="1" applyFill="1" applyBorder="1"/>
    <xf numFmtId="0" fontId="31" fillId="5" borderId="0" xfId="0" applyFont="1" applyFill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43" fontId="15" fillId="0" borderId="0" xfId="4" applyFont="1" applyAlignment="1">
      <alignment horizontal="center"/>
    </xf>
    <xf numFmtId="0" fontId="37" fillId="7" borderId="0" xfId="0" applyFont="1" applyFill="1"/>
    <xf numFmtId="0" fontId="38" fillId="0" borderId="0" xfId="0" applyFont="1"/>
    <xf numFmtId="3" fontId="15" fillId="0" borderId="8" xfId="0" applyNumberFormat="1" applyFont="1" applyBorder="1"/>
    <xf numFmtId="165" fontId="15" fillId="0" borderId="8" xfId="4" applyNumberFormat="1" applyFont="1" applyFill="1" applyBorder="1"/>
    <xf numFmtId="165" fontId="15" fillId="0" borderId="9" xfId="4" applyNumberFormat="1" applyFont="1" applyFill="1" applyBorder="1"/>
    <xf numFmtId="3" fontId="15" fillId="0" borderId="1" xfId="0" applyNumberFormat="1" applyFont="1" applyBorder="1"/>
    <xf numFmtId="165" fontId="15" fillId="0" borderId="1" xfId="4" applyNumberFormat="1" applyFont="1" applyFill="1" applyBorder="1"/>
    <xf numFmtId="165" fontId="15" fillId="0" borderId="11" xfId="4" applyNumberFormat="1" applyFont="1" applyFill="1" applyBorder="1"/>
    <xf numFmtId="3" fontId="15" fillId="0" borderId="14" xfId="0" applyNumberFormat="1" applyFont="1" applyBorder="1"/>
    <xf numFmtId="3" fontId="36" fillId="7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4" applyNumberFormat="1" applyFont="1" applyFill="1"/>
    <xf numFmtId="0" fontId="36" fillId="6" borderId="7" xfId="0" applyFont="1" applyFill="1" applyBorder="1" applyAlignment="1">
      <alignment horizontal="center" vertical="center"/>
    </xf>
    <xf numFmtId="165" fontId="36" fillId="6" borderId="8" xfId="4" applyNumberFormat="1" applyFont="1" applyFill="1" applyBorder="1" applyAlignment="1">
      <alignment horizontal="center" vertical="center"/>
    </xf>
    <xf numFmtId="165" fontId="36" fillId="6" borderId="9" xfId="4" applyNumberFormat="1" applyFont="1" applyFill="1" applyBorder="1" applyAlignment="1">
      <alignment horizontal="center" vertical="center"/>
    </xf>
    <xf numFmtId="0" fontId="36" fillId="0" borderId="10" xfId="0" applyFont="1" applyBorder="1"/>
    <xf numFmtId="165" fontId="36" fillId="0" borderId="1" xfId="4" applyNumberFormat="1" applyFont="1" applyBorder="1"/>
    <xf numFmtId="165" fontId="36" fillId="0" borderId="11" xfId="4" applyNumberFormat="1" applyFont="1" applyBorder="1"/>
    <xf numFmtId="0" fontId="36" fillId="0" borderId="12" xfId="0" applyFont="1" applyBorder="1"/>
    <xf numFmtId="165" fontId="36" fillId="0" borderId="16" xfId="4" applyNumberFormat="1" applyFont="1" applyBorder="1"/>
    <xf numFmtId="165" fontId="36" fillId="0" borderId="17" xfId="4" applyNumberFormat="1" applyFont="1" applyBorder="1"/>
    <xf numFmtId="0" fontId="36" fillId="0" borderId="1" xfId="0" applyFont="1" applyBorder="1"/>
    <xf numFmtId="3" fontId="36" fillId="0" borderId="1" xfId="0" applyNumberFormat="1" applyFont="1" applyBorder="1"/>
    <xf numFmtId="0" fontId="36" fillId="7" borderId="6" xfId="0" applyFont="1" applyFill="1" applyBorder="1" applyAlignment="1">
      <alignment horizontal="left" vertical="center"/>
    </xf>
    <xf numFmtId="0" fontId="0" fillId="0" borderId="0" xfId="0" quotePrefix="1"/>
    <xf numFmtId="0" fontId="14" fillId="0" borderId="0" xfId="0" applyFont="1"/>
    <xf numFmtId="0" fontId="13" fillId="0" borderId="0" xfId="0" applyFont="1"/>
    <xf numFmtId="165" fontId="27" fillId="0" borderId="1" xfId="4" applyNumberFormat="1" applyFont="1" applyBorder="1"/>
    <xf numFmtId="0" fontId="0" fillId="0" borderId="14" xfId="0" applyBorder="1"/>
    <xf numFmtId="165" fontId="0" fillId="0" borderId="14" xfId="4" applyNumberFormat="1" applyFont="1" applyBorder="1"/>
    <xf numFmtId="0" fontId="0" fillId="0" borderId="18" xfId="0" applyBorder="1"/>
    <xf numFmtId="165" fontId="0" fillId="0" borderId="18" xfId="4" applyNumberFormat="1" applyFont="1" applyBorder="1"/>
    <xf numFmtId="0" fontId="0" fillId="0" borderId="19" xfId="0" applyBorder="1"/>
    <xf numFmtId="165" fontId="0" fillId="0" borderId="19" xfId="4" applyNumberFormat="1" applyFont="1" applyBorder="1"/>
    <xf numFmtId="9" fontId="30" fillId="0" borderId="0" xfId="5" applyFont="1" applyBorder="1"/>
    <xf numFmtId="165" fontId="27" fillId="0" borderId="19" xfId="4" applyNumberFormat="1" applyFont="1" applyBorder="1"/>
    <xf numFmtId="3" fontId="0" fillId="0" borderId="19" xfId="0" applyNumberFormat="1" applyBorder="1"/>
    <xf numFmtId="0" fontId="40" fillId="9" borderId="20" xfId="1" applyFont="1" applyFill="1" applyBorder="1" applyAlignment="1" applyProtection="1">
      <alignment horizontal="left"/>
      <protection locked="0"/>
    </xf>
    <xf numFmtId="0" fontId="40" fillId="9" borderId="21" xfId="1" applyFont="1" applyFill="1" applyBorder="1" applyAlignment="1" applyProtection="1">
      <alignment horizontal="center"/>
      <protection locked="0"/>
    </xf>
    <xf numFmtId="0" fontId="41" fillId="10" borderId="22" xfId="1" applyFont="1" applyFill="1" applyBorder="1" applyAlignment="1" applyProtection="1">
      <alignment horizontal="right"/>
      <protection locked="0"/>
    </xf>
    <xf numFmtId="165" fontId="30" fillId="0" borderId="0" xfId="4" applyNumberFormat="1" applyFont="1" applyBorder="1"/>
    <xf numFmtId="9" fontId="0" fillId="0" borderId="0" xfId="0" applyNumberFormat="1"/>
    <xf numFmtId="49" fontId="12" fillId="0" borderId="0" xfId="0" applyNumberFormat="1" applyFont="1" applyAlignment="1">
      <alignment horizontal="center"/>
    </xf>
    <xf numFmtId="169" fontId="42" fillId="10" borderId="22" xfId="5" applyNumberFormat="1" applyFont="1" applyFill="1" applyBorder="1" applyProtection="1">
      <protection locked="0"/>
    </xf>
    <xf numFmtId="0" fontId="45" fillId="0" borderId="0" xfId="0" applyFont="1"/>
    <xf numFmtId="0" fontId="0" fillId="0" borderId="0" xfId="0" applyAlignment="1">
      <alignment horizontal="right"/>
    </xf>
    <xf numFmtId="43" fontId="43" fillId="10" borderId="22" xfId="4" applyFont="1" applyFill="1" applyBorder="1" applyProtection="1">
      <protection locked="0"/>
    </xf>
    <xf numFmtId="10" fontId="42" fillId="10" borderId="22" xfId="5" applyNumberFormat="1" applyFont="1" applyFill="1" applyBorder="1" applyProtection="1">
      <protection locked="0"/>
    </xf>
    <xf numFmtId="0" fontId="36" fillId="7" borderId="0" xfId="0" applyFont="1" applyFill="1" applyAlignment="1">
      <alignment horizontal="left" vertical="center"/>
    </xf>
    <xf numFmtId="3" fontId="36" fillId="7" borderId="0" xfId="0" applyNumberFormat="1" applyFont="1" applyFill="1" applyAlignment="1">
      <alignment horizontal="center" vertical="center"/>
    </xf>
    <xf numFmtId="170" fontId="0" fillId="0" borderId="0" xfId="0" applyNumberFormat="1"/>
    <xf numFmtId="164" fontId="12" fillId="0" borderId="0" xfId="5" applyNumberFormat="1" applyFont="1" applyAlignment="1">
      <alignment horizontal="center"/>
    </xf>
    <xf numFmtId="10" fontId="0" fillId="0" borderId="0" xfId="5" applyNumberFormat="1" applyFont="1" applyBorder="1"/>
    <xf numFmtId="0" fontId="10" fillId="0" borderId="0" xfId="0" applyFont="1"/>
    <xf numFmtId="0" fontId="36" fillId="0" borderId="0" xfId="0" applyFont="1"/>
    <xf numFmtId="3" fontId="10" fillId="0" borderId="0" xfId="0" applyNumberFormat="1" applyFont="1"/>
    <xf numFmtId="165" fontId="10" fillId="0" borderId="1" xfId="4" applyNumberFormat="1" applyFont="1" applyBorder="1"/>
    <xf numFmtId="0" fontId="25" fillId="0" borderId="1" xfId="0" applyFont="1" applyBorder="1"/>
    <xf numFmtId="165" fontId="10" fillId="0" borderId="0" xfId="0" applyNumberFormat="1" applyFont="1"/>
    <xf numFmtId="0" fontId="25" fillId="0" borderId="0" xfId="0" applyFont="1"/>
    <xf numFmtId="165" fontId="33" fillId="0" borderId="1" xfId="4" applyNumberFormat="1" applyFont="1" applyFill="1" applyBorder="1"/>
    <xf numFmtId="165" fontId="25" fillId="0" borderId="1" xfId="4" applyNumberFormat="1" applyFont="1" applyFill="1" applyBorder="1"/>
    <xf numFmtId="165" fontId="10" fillId="0" borderId="1" xfId="4" applyNumberFormat="1" applyFont="1" applyFill="1" applyBorder="1"/>
    <xf numFmtId="165" fontId="33" fillId="0" borderId="5" xfId="4" applyNumberFormat="1" applyFont="1" applyFill="1" applyBorder="1"/>
    <xf numFmtId="165" fontId="25" fillId="0" borderId="5" xfId="4" applyNumberFormat="1" applyFont="1" applyFill="1" applyBorder="1"/>
    <xf numFmtId="9" fontId="28" fillId="0" borderId="1" xfId="5" applyFont="1" applyFill="1" applyBorder="1"/>
    <xf numFmtId="9" fontId="28" fillId="0" borderId="1" xfId="5" applyFont="1" applyBorder="1"/>
    <xf numFmtId="3" fontId="25" fillId="0" borderId="1" xfId="0" applyNumberFormat="1" applyFont="1" applyBorder="1"/>
    <xf numFmtId="0" fontId="19" fillId="0" borderId="1" xfId="0" applyFont="1" applyBorder="1" applyAlignment="1">
      <alignment horizontal="left" vertical="center" wrapText="1" indent="1"/>
    </xf>
    <xf numFmtId="9" fontId="10" fillId="0" borderId="0" xfId="5" applyFont="1"/>
    <xf numFmtId="3" fontId="10" fillId="0" borderId="1" xfId="0" applyNumberFormat="1" applyFont="1" applyBorder="1"/>
    <xf numFmtId="10" fontId="10" fillId="0" borderId="0" xfId="5" applyNumberFormat="1" applyFont="1"/>
    <xf numFmtId="0" fontId="10" fillId="0" borderId="14" xfId="0" applyFont="1" applyBorder="1"/>
    <xf numFmtId="165" fontId="10" fillId="0" borderId="14" xfId="4" applyNumberFormat="1" applyFont="1" applyBorder="1"/>
    <xf numFmtId="0" fontId="10" fillId="0" borderId="18" xfId="0" applyFont="1" applyBorder="1"/>
    <xf numFmtId="165" fontId="10" fillId="0" borderId="18" xfId="4" applyNumberFormat="1" applyFont="1" applyBorder="1"/>
    <xf numFmtId="0" fontId="10" fillId="0" borderId="19" xfId="0" applyFont="1" applyBorder="1"/>
    <xf numFmtId="165" fontId="10" fillId="0" borderId="19" xfId="4" applyNumberFormat="1" applyFont="1" applyBorder="1"/>
    <xf numFmtId="165" fontId="10" fillId="0" borderId="0" xfId="4" applyNumberFormat="1" applyFont="1"/>
    <xf numFmtId="0" fontId="10" fillId="0" borderId="1" xfId="0" applyFont="1" applyBorder="1"/>
    <xf numFmtId="9" fontId="10" fillId="0" borderId="1" xfId="5" applyFont="1" applyBorder="1"/>
    <xf numFmtId="43" fontId="10" fillId="0" borderId="0" xfId="0" applyNumberFormat="1" applyFont="1"/>
    <xf numFmtId="43" fontId="10" fillId="0" borderId="0" xfId="4" applyFont="1"/>
    <xf numFmtId="165" fontId="42" fillId="10" borderId="22" xfId="4" applyNumberFormat="1" applyFont="1" applyFill="1" applyBorder="1" applyProtection="1">
      <protection locked="0"/>
    </xf>
    <xf numFmtId="0" fontId="10" fillId="0" borderId="1" xfId="0" applyFont="1" applyBorder="1" applyAlignment="1">
      <alignment horizontal="left" vertical="center" wrapText="1" indent="1"/>
    </xf>
    <xf numFmtId="0" fontId="25" fillId="0" borderId="1" xfId="0" applyFont="1" applyBorder="1" applyAlignment="1">
      <alignment horizontal="left" vertical="center" wrapText="1" indent="1"/>
    </xf>
    <xf numFmtId="0" fontId="41" fillId="10" borderId="0" xfId="1" applyFont="1" applyFill="1" applyAlignment="1" applyProtection="1">
      <alignment horizontal="right"/>
      <protection locked="0"/>
    </xf>
    <xf numFmtId="164" fontId="43" fillId="10" borderId="0" xfId="5" applyNumberFormat="1" applyFont="1" applyFill="1" applyBorder="1" applyProtection="1">
      <protection locked="0"/>
    </xf>
    <xf numFmtId="164" fontId="0" fillId="0" borderId="1" xfId="5" applyNumberFormat="1" applyFont="1" applyBorder="1"/>
    <xf numFmtId="9" fontId="45" fillId="0" borderId="0" xfId="5" applyFont="1"/>
    <xf numFmtId="10" fontId="45" fillId="0" borderId="0" xfId="0" applyNumberFormat="1" applyFont="1"/>
    <xf numFmtId="0" fontId="27" fillId="0" borderId="1" xfId="0" applyFont="1" applyBorder="1"/>
    <xf numFmtId="164" fontId="27" fillId="0" borderId="1" xfId="5" applyNumberFormat="1" applyFont="1" applyBorder="1"/>
    <xf numFmtId="166" fontId="32" fillId="0" borderId="1" xfId="4" applyNumberFormat="1" applyFont="1" applyBorder="1"/>
    <xf numFmtId="165" fontId="42" fillId="10" borderId="23" xfId="4" applyNumberFormat="1" applyFont="1" applyFill="1" applyBorder="1" applyProtection="1">
      <protection locked="0"/>
    </xf>
    <xf numFmtId="0" fontId="20" fillId="11" borderId="0" xfId="0" applyFont="1" applyFill="1" applyAlignment="1">
      <alignment horizontal="center" vertical="center" wrapText="1"/>
    </xf>
    <xf numFmtId="0" fontId="9" fillId="0" borderId="0" xfId="0" applyFont="1"/>
    <xf numFmtId="165" fontId="9" fillId="0" borderId="0" xfId="4" applyNumberFormat="1" applyFont="1"/>
    <xf numFmtId="43" fontId="21" fillId="2" borderId="0" xfId="4" applyFont="1" applyFill="1" applyAlignment="1">
      <alignment horizontal="right" vertical="center" wrapText="1" indent="1"/>
    </xf>
    <xf numFmtId="43" fontId="0" fillId="0" borderId="1" xfId="4" applyFont="1" applyBorder="1"/>
    <xf numFmtId="0" fontId="8" fillId="0" borderId="0" xfId="0" applyFont="1"/>
    <xf numFmtId="0" fontId="46" fillId="0" borderId="0" xfId="0" applyFont="1"/>
    <xf numFmtId="0" fontId="8" fillId="0" borderId="0" xfId="0" applyFont="1" applyAlignment="1">
      <alignment horizontal="left" vertical="center" wrapText="1" indent="1"/>
    </xf>
    <xf numFmtId="3" fontId="8" fillId="0" borderId="0" xfId="0" applyNumberFormat="1" applyFont="1"/>
    <xf numFmtId="0" fontId="8" fillId="0" borderId="1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5" fontId="15" fillId="0" borderId="1" xfId="4" applyNumberFormat="1" applyFont="1" applyBorder="1"/>
    <xf numFmtId="0" fontId="8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5" fontId="15" fillId="0" borderId="0" xfId="4" applyNumberFormat="1" applyFont="1" applyBorder="1"/>
    <xf numFmtId="0" fontId="8" fillId="0" borderId="1" xfId="0" applyFont="1" applyBorder="1"/>
    <xf numFmtId="0" fontId="36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/>
    </xf>
    <xf numFmtId="0" fontId="8" fillId="0" borderId="7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7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165" fontId="8" fillId="0" borderId="8" xfId="4" applyNumberFormat="1" applyFont="1" applyFill="1" applyBorder="1"/>
    <xf numFmtId="165" fontId="8" fillId="0" borderId="9" xfId="4" applyNumberFormat="1" applyFont="1" applyFill="1" applyBorder="1"/>
    <xf numFmtId="165" fontId="8" fillId="0" borderId="1" xfId="4" applyNumberFormat="1" applyFont="1" applyFill="1" applyBorder="1"/>
    <xf numFmtId="165" fontId="8" fillId="0" borderId="11" xfId="4" applyNumberFormat="1" applyFont="1" applyFill="1" applyBorder="1"/>
    <xf numFmtId="165" fontId="8" fillId="0" borderId="1" xfId="4" applyNumberFormat="1" applyFont="1" applyFill="1" applyBorder="1" applyAlignment="1">
      <alignment horizontal="right"/>
    </xf>
    <xf numFmtId="165" fontId="8" fillId="0" borderId="11" xfId="4" applyNumberFormat="1" applyFont="1" applyFill="1" applyBorder="1" applyAlignment="1">
      <alignment horizontal="right"/>
    </xf>
    <xf numFmtId="165" fontId="8" fillId="0" borderId="14" xfId="4" applyNumberFormat="1" applyFont="1" applyFill="1" applyBorder="1" applyAlignment="1">
      <alignment horizontal="right"/>
    </xf>
    <xf numFmtId="165" fontId="8" fillId="0" borderId="15" xfId="4" applyNumberFormat="1" applyFont="1" applyFill="1" applyBorder="1" applyAlignment="1">
      <alignment horizontal="right"/>
    </xf>
    <xf numFmtId="0" fontId="25" fillId="0" borderId="10" xfId="0" applyFont="1" applyBorder="1" applyAlignment="1">
      <alignment horizontal="left"/>
    </xf>
    <xf numFmtId="165" fontId="21" fillId="2" borderId="0" xfId="0" applyNumberFormat="1" applyFont="1" applyFill="1" applyAlignment="1">
      <alignment horizontal="right" vertical="center" wrapText="1" indent="1"/>
    </xf>
    <xf numFmtId="0" fontId="47" fillId="0" borderId="22" xfId="0" applyFont="1" applyBorder="1" applyAlignment="1">
      <alignment horizontal="center"/>
    </xf>
    <xf numFmtId="0" fontId="48" fillId="9" borderId="0" xfId="1" applyFont="1" applyFill="1" applyAlignment="1" applyProtection="1">
      <alignment horizontal="centerContinuous"/>
      <protection locked="0"/>
    </xf>
    <xf numFmtId="165" fontId="27" fillId="0" borderId="0" xfId="0" applyNumberFormat="1" applyFont="1"/>
    <xf numFmtId="10" fontId="0" fillId="0" borderId="1" xfId="5" applyNumberFormat="1" applyFont="1" applyBorder="1"/>
    <xf numFmtId="0" fontId="7" fillId="0" borderId="0" xfId="0" applyFont="1"/>
    <xf numFmtId="10" fontId="10" fillId="0" borderId="0" xfId="0" applyNumberFormat="1" applyFont="1"/>
    <xf numFmtId="164" fontId="10" fillId="0" borderId="1" xfId="5" applyNumberFormat="1" applyFont="1" applyBorder="1"/>
    <xf numFmtId="165" fontId="49" fillId="0" borderId="0" xfId="0" applyNumberFormat="1" applyFont="1"/>
    <xf numFmtId="0" fontId="6" fillId="0" borderId="10" xfId="0" applyFont="1" applyBorder="1" applyAlignment="1">
      <alignment horizontal="left"/>
    </xf>
    <xf numFmtId="171" fontId="15" fillId="0" borderId="0" xfId="0" applyNumberFormat="1" applyFont="1"/>
    <xf numFmtId="0" fontId="5" fillId="0" borderId="0" xfId="0" applyFont="1"/>
    <xf numFmtId="0" fontId="4" fillId="0" borderId="0" xfId="0" applyFont="1"/>
    <xf numFmtId="0" fontId="3" fillId="0" borderId="0" xfId="0" applyFont="1"/>
    <xf numFmtId="43" fontId="0" fillId="0" borderId="0" xfId="4" applyFont="1" applyFill="1"/>
    <xf numFmtId="165" fontId="0" fillId="0" borderId="0" xfId="4" applyNumberFormat="1" applyFont="1" applyFill="1"/>
    <xf numFmtId="165" fontId="23" fillId="0" borderId="0" xfId="4" applyNumberFormat="1" applyFont="1" applyFill="1" applyAlignment="1">
      <alignment horizontal="right" vertical="center" wrapText="1" indent="1"/>
    </xf>
    <xf numFmtId="0" fontId="11" fillId="0" borderId="0" xfId="0" applyFont="1" applyAlignment="1">
      <alignment horizontal="left" vertical="center" wrapText="1" indent="1"/>
    </xf>
    <xf numFmtId="165" fontId="21" fillId="2" borderId="0" xfId="4" applyNumberFormat="1" applyFont="1" applyFill="1" applyAlignment="1">
      <alignment horizontal="left" vertical="center" wrapText="1" indent="1"/>
    </xf>
    <xf numFmtId="165" fontId="0" fillId="0" borderId="1" xfId="4" applyNumberFormat="1" applyFont="1" applyFill="1" applyBorder="1"/>
    <xf numFmtId="3" fontId="15" fillId="0" borderId="15" xfId="0" applyNumberFormat="1" applyFont="1" applyBorder="1"/>
    <xf numFmtId="3" fontId="0" fillId="0" borderId="14" xfId="0" applyNumberFormat="1" applyBorder="1"/>
    <xf numFmtId="3" fontId="0" fillId="0" borderId="18" xfId="0" applyNumberFormat="1" applyBorder="1"/>
    <xf numFmtId="166" fontId="32" fillId="0" borderId="18" xfId="4" applyNumberFormat="1" applyFont="1" applyFill="1" applyBorder="1"/>
    <xf numFmtId="166" fontId="30" fillId="0" borderId="18" xfId="4" applyNumberFormat="1" applyFont="1" applyFill="1" applyBorder="1"/>
    <xf numFmtId="0" fontId="0" fillId="8" borderId="18" xfId="0" applyFill="1" applyBorder="1"/>
    <xf numFmtId="3" fontId="0" fillId="8" borderId="18" xfId="0" applyNumberFormat="1" applyFill="1" applyBorder="1"/>
    <xf numFmtId="10" fontId="0" fillId="0" borderId="0" xfId="5" applyNumberFormat="1" applyFont="1" applyFill="1"/>
    <xf numFmtId="165" fontId="30" fillId="0" borderId="1" xfId="4" applyNumberFormat="1" applyFont="1" applyFill="1" applyBorder="1"/>
    <xf numFmtId="165" fontId="32" fillId="0" borderId="1" xfId="4" applyNumberFormat="1" applyFont="1" applyFill="1" applyBorder="1"/>
    <xf numFmtId="165" fontId="27" fillId="0" borderId="1" xfId="4" applyNumberFormat="1" applyFont="1" applyFill="1" applyBorder="1"/>
    <xf numFmtId="167" fontId="27" fillId="0" borderId="1" xfId="0" applyNumberFormat="1" applyFont="1" applyBorder="1"/>
    <xf numFmtId="165" fontId="10" fillId="0" borderId="18" xfId="4" applyNumberFormat="1" applyFont="1" applyFill="1" applyBorder="1"/>
    <xf numFmtId="0" fontId="50" fillId="12" borderId="22" xfId="0" applyFont="1" applyFill="1" applyBorder="1" applyAlignment="1">
      <alignment horizontal="center"/>
    </xf>
    <xf numFmtId="0" fontId="47" fillId="6" borderId="22" xfId="0" applyFont="1" applyFill="1" applyBorder="1" applyAlignment="1">
      <alignment horizontal="center"/>
    </xf>
    <xf numFmtId="0" fontId="51" fillId="13" borderId="0" xfId="0" applyFont="1" applyFill="1" applyAlignment="1">
      <alignment horizontal="center" wrapText="1"/>
    </xf>
    <xf numFmtId="10" fontId="33" fillId="0" borderId="0" xfId="5" applyNumberFormat="1" applyFont="1"/>
    <xf numFmtId="0" fontId="40" fillId="5" borderId="20" xfId="1" applyFont="1" applyFill="1" applyBorder="1" applyAlignment="1" applyProtection="1">
      <alignment horizontal="left"/>
      <protection locked="0"/>
    </xf>
    <xf numFmtId="0" fontId="40" fillId="5" borderId="21" xfId="1" applyFont="1" applyFill="1" applyBorder="1" applyAlignment="1" applyProtection="1">
      <alignment horizontal="center"/>
      <protection locked="0"/>
    </xf>
    <xf numFmtId="172" fontId="0" fillId="0" borderId="0" xfId="4" applyNumberFormat="1" applyFont="1"/>
    <xf numFmtId="0" fontId="2" fillId="0" borderId="0" xfId="0" applyFont="1"/>
    <xf numFmtId="165" fontId="42" fillId="0" borderId="22" xfId="4" applyNumberFormat="1" applyFont="1" applyFill="1" applyBorder="1" applyProtection="1">
      <protection locked="0"/>
    </xf>
    <xf numFmtId="10" fontId="42" fillId="0" borderId="22" xfId="5" applyNumberFormat="1" applyFont="1" applyFill="1" applyBorder="1" applyProtection="1">
      <protection locked="0"/>
    </xf>
    <xf numFmtId="0" fontId="18" fillId="0" borderId="0" xfId="0" applyFont="1" applyAlignment="1">
      <alignment horizontal="left" vertical="center" wrapText="1" indent="1"/>
    </xf>
    <xf numFmtId="0" fontId="25" fillId="0" borderId="13" xfId="0" applyFont="1" applyBorder="1" applyAlignment="1">
      <alignment horizontal="left"/>
    </xf>
    <xf numFmtId="0" fontId="2" fillId="0" borderId="10" xfId="0" quotePrefix="1" applyFont="1" applyBorder="1" applyAlignment="1">
      <alignment horizontal="left"/>
    </xf>
    <xf numFmtId="0" fontId="8" fillId="0" borderId="10" xfId="0" quotePrefix="1" applyFont="1" applyBorder="1" applyAlignment="1">
      <alignment horizontal="left"/>
    </xf>
    <xf numFmtId="165" fontId="10" fillId="0" borderId="14" xfId="4" applyNumberFormat="1" applyFont="1" applyFill="1" applyBorder="1"/>
    <xf numFmtId="165" fontId="10" fillId="0" borderId="19" xfId="4" applyNumberFormat="1" applyFont="1" applyFill="1" applyBorder="1"/>
    <xf numFmtId="165" fontId="36" fillId="0" borderId="1" xfId="4" applyNumberFormat="1" applyFont="1" applyFill="1" applyBorder="1"/>
    <xf numFmtId="165" fontId="0" fillId="0" borderId="14" xfId="4" applyNumberFormat="1" applyFont="1" applyFill="1" applyBorder="1"/>
    <xf numFmtId="165" fontId="0" fillId="0" borderId="18" xfId="4" applyNumberFormat="1" applyFont="1" applyFill="1" applyBorder="1"/>
    <xf numFmtId="165" fontId="27" fillId="0" borderId="19" xfId="4" applyNumberFormat="1" applyFont="1" applyFill="1" applyBorder="1"/>
    <xf numFmtId="3" fontId="25" fillId="0" borderId="1" xfId="0" applyNumberFormat="1" applyFont="1" applyBorder="1" applyAlignment="1">
      <alignment horizontal="right" vertical="center" wrapText="1"/>
    </xf>
    <xf numFmtId="3" fontId="33" fillId="0" borderId="1" xfId="0" applyNumberFormat="1" applyFont="1" applyBorder="1" applyAlignment="1">
      <alignment horizontal="right" vertical="center" wrapText="1"/>
    </xf>
    <xf numFmtId="2" fontId="53" fillId="0" borderId="1" xfId="0" applyNumberFormat="1" applyFont="1" applyBorder="1"/>
    <xf numFmtId="2" fontId="27" fillId="0" borderId="1" xfId="0" applyNumberFormat="1" applyFont="1" applyBorder="1"/>
    <xf numFmtId="165" fontId="30" fillId="0" borderId="1" xfId="0" applyNumberFormat="1" applyFont="1" applyBorder="1"/>
    <xf numFmtId="43" fontId="53" fillId="0" borderId="1" xfId="0" applyNumberFormat="1" applyFont="1" applyBorder="1"/>
    <xf numFmtId="43" fontId="0" fillId="0" borderId="1" xfId="0" applyNumberFormat="1" applyBorder="1"/>
    <xf numFmtId="0" fontId="1" fillId="0" borderId="0" xfId="0" applyFont="1"/>
    <xf numFmtId="165" fontId="30" fillId="0" borderId="14" xfId="4" applyNumberFormat="1" applyFont="1" applyBorder="1"/>
    <xf numFmtId="165" fontId="32" fillId="0" borderId="1" xfId="4" applyNumberFormat="1" applyFont="1" applyBorder="1"/>
    <xf numFmtId="0" fontId="55" fillId="0" borderId="22" xfId="0" applyFont="1" applyBorder="1" applyAlignment="1">
      <alignment horizontal="center"/>
    </xf>
    <xf numFmtId="0" fontId="40" fillId="14" borderId="21" xfId="1" applyFont="1" applyFill="1" applyBorder="1" applyAlignment="1" applyProtection="1">
      <alignment horizontal="center"/>
      <protection locked="0"/>
    </xf>
    <xf numFmtId="165" fontId="43" fillId="10" borderId="22" xfId="4" applyNumberFormat="1" applyFont="1" applyFill="1" applyBorder="1" applyProtection="1">
      <protection locked="0"/>
    </xf>
    <xf numFmtId="169" fontId="43" fillId="10" borderId="22" xfId="5" applyNumberFormat="1" applyFont="1" applyFill="1" applyBorder="1" applyProtection="1">
      <protection locked="0"/>
    </xf>
    <xf numFmtId="10" fontId="43" fillId="10" borderId="22" xfId="5" applyNumberFormat="1" applyFont="1" applyFill="1" applyBorder="1" applyProtection="1">
      <protection locked="0"/>
    </xf>
    <xf numFmtId="10" fontId="19" fillId="0" borderId="0" xfId="0" applyNumberFormat="1" applyFont="1" applyAlignment="1">
      <alignment horizontal="left" vertical="center" wrapText="1" indent="1"/>
    </xf>
    <xf numFmtId="0" fontId="43" fillId="10" borderId="22" xfId="4" applyNumberFormat="1" applyFont="1" applyFill="1" applyBorder="1" applyAlignment="1" applyProtection="1">
      <alignment horizontal="center"/>
      <protection locked="0"/>
    </xf>
    <xf numFmtId="0" fontId="52" fillId="0" borderId="22" xfId="0" applyFont="1" applyBorder="1" applyAlignment="1">
      <alignment horizontal="center"/>
    </xf>
    <xf numFmtId="10" fontId="30" fillId="0" borderId="22" xfId="0" applyNumberFormat="1" applyFont="1" applyBorder="1"/>
    <xf numFmtId="10" fontId="30" fillId="0" borderId="22" xfId="5" applyNumberFormat="1" applyFont="1" applyBorder="1"/>
    <xf numFmtId="10" fontId="0" fillId="7" borderId="22" xfId="5" applyNumberFormat="1" applyFont="1" applyFill="1" applyBorder="1"/>
    <xf numFmtId="10" fontId="32" fillId="0" borderId="22" xfId="0" applyNumberFormat="1" applyFont="1" applyBorder="1"/>
    <xf numFmtId="10" fontId="32" fillId="0" borderId="22" xfId="5" applyNumberFormat="1" applyFont="1" applyBorder="1"/>
    <xf numFmtId="0" fontId="0" fillId="0" borderId="22" xfId="0" applyBorder="1"/>
    <xf numFmtId="165" fontId="0" fillId="0" borderId="22" xfId="4" applyNumberFormat="1" applyFont="1" applyBorder="1"/>
    <xf numFmtId="10" fontId="25" fillId="0" borderId="1" xfId="5" applyNumberFormat="1" applyFont="1" applyBorder="1"/>
    <xf numFmtId="10" fontId="0" fillId="0" borderId="22" xfId="5" applyNumberFormat="1" applyFont="1" applyBorder="1"/>
    <xf numFmtId="9" fontId="0" fillId="0" borderId="1" xfId="5" applyFont="1" applyBorder="1"/>
    <xf numFmtId="0" fontId="27" fillId="0" borderId="0" xfId="0" applyFont="1" applyAlignment="1">
      <alignment horizontal="center"/>
    </xf>
    <xf numFmtId="165" fontId="15" fillId="0" borderId="0" xfId="0" applyNumberFormat="1" applyFont="1"/>
    <xf numFmtId="0" fontId="1" fillId="0" borderId="7" xfId="0" applyFont="1" applyBorder="1" applyAlignment="1">
      <alignment horizontal="left"/>
    </xf>
    <xf numFmtId="3" fontId="15" fillId="0" borderId="9" xfId="0" applyNumberFormat="1" applyFont="1" applyBorder="1"/>
    <xf numFmtId="3" fontId="15" fillId="0" borderId="11" xfId="0" applyNumberFormat="1" applyFont="1" applyBorder="1"/>
    <xf numFmtId="43" fontId="15" fillId="0" borderId="0" xfId="4" applyFont="1"/>
    <xf numFmtId="165" fontId="0" fillId="0" borderId="19" xfId="0" applyNumberFormat="1" applyBorder="1"/>
    <xf numFmtId="165" fontId="0" fillId="0" borderId="14" xfId="0" applyNumberFormat="1" applyBorder="1"/>
    <xf numFmtId="0" fontId="6" fillId="0" borderId="12" xfId="0" applyFont="1" applyBorder="1" applyAlignment="1">
      <alignment horizontal="left"/>
    </xf>
    <xf numFmtId="165" fontId="15" fillId="0" borderId="16" xfId="4" applyNumberFormat="1" applyFont="1" applyFill="1" applyBorder="1"/>
    <xf numFmtId="165" fontId="39" fillId="0" borderId="16" xfId="4" applyNumberFormat="1" applyFont="1" applyFill="1" applyBorder="1"/>
    <xf numFmtId="165" fontId="15" fillId="0" borderId="17" xfId="4" applyNumberFormat="1" applyFont="1" applyFill="1" applyBorder="1"/>
    <xf numFmtId="0" fontId="56" fillId="13" borderId="22" xfId="0" applyFont="1" applyFill="1" applyBorder="1" applyAlignment="1">
      <alignment horizontal="center"/>
    </xf>
    <xf numFmtId="0" fontId="54" fillId="10" borderId="22" xfId="0" applyFont="1" applyFill="1" applyBorder="1" applyAlignment="1">
      <alignment horizontal="center"/>
    </xf>
    <xf numFmtId="165" fontId="15" fillId="0" borderId="1" xfId="4" applyNumberFormat="1" applyFont="1" applyFill="1" applyBorder="1" applyAlignment="1">
      <alignment horizontal="right"/>
    </xf>
    <xf numFmtId="165" fontId="15" fillId="0" borderId="11" xfId="4" applyNumberFormat="1" applyFont="1" applyFill="1" applyBorder="1" applyAlignment="1">
      <alignment horizontal="right"/>
    </xf>
  </cellXfs>
  <cellStyles count="9">
    <cellStyle name="Millares" xfId="4" builtinId="3"/>
    <cellStyle name="Millares 2" xfId="2" xr:uid="{19E827D2-5214-48DD-A07E-F7D000CD6ABC}"/>
    <cellStyle name="Millares 2 2" xfId="7" xr:uid="{3583E204-C543-4180-8C2C-5748F6817FE0}"/>
    <cellStyle name="Millares 3" xfId="8" xr:uid="{A13F5FB7-D9FD-4172-9E6A-FD971323D274}"/>
    <cellStyle name="Normal" xfId="0" builtinId="0"/>
    <cellStyle name="Normal 2" xfId="1" xr:uid="{90487513-76FD-4616-A6A4-B53EE7907EC5}"/>
    <cellStyle name="Normal 2 2" xfId="6" xr:uid="{9888F268-F203-4252-ACCC-343BCF79CAE6}"/>
    <cellStyle name="Porcentaje" xfId="5" builtinId="5"/>
    <cellStyle name="Porcentaje 2" xfId="3" xr:uid="{34263119-5FA5-4140-9759-1AF6CE3E5F7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Ventas!$C$4:$H$4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Ventas!$C$8:$H$8</c:f>
              <c:numCache>
                <c:formatCode>_-* #,##0_-;\-* #,##0_-;_-* "-"??_-;_-@_-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0-438D-BB8C-AE8E2F1D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983328"/>
        <c:axId val="1250114111"/>
      </c:lineChart>
      <c:catAx>
        <c:axId val="13939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0114111"/>
        <c:crosses val="autoZero"/>
        <c:auto val="1"/>
        <c:lblAlgn val="ctr"/>
        <c:lblOffset val="100"/>
        <c:noMultiLvlLbl val="0"/>
      </c:catAx>
      <c:valAx>
        <c:axId val="125011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398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Ventas!$B$5</c:f>
              <c:strCache>
                <c:ptCount val="1"/>
                <c:pt idx="0">
                  <c:v>Ventas Nacionales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Ventas!$C$4:$K$4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</c:numCache>
            </c:numRef>
          </c:cat>
          <c:val>
            <c:numRef>
              <c:f>Ventas!$C$5:$H$5</c:f>
              <c:numCache>
                <c:formatCode>_-* #,##0_-;\-* #,##0_-;_-* "-"??_-;_-@_-</c:formatCode>
                <c:ptCount val="6"/>
                <c:pt idx="0">
                  <c:v>152725</c:v>
                </c:pt>
                <c:pt idx="1">
                  <c:v>114909</c:v>
                </c:pt>
                <c:pt idx="2">
                  <c:v>181168</c:v>
                </c:pt>
                <c:pt idx="3">
                  <c:v>191314</c:v>
                </c:pt>
                <c:pt idx="4">
                  <c:v>183404</c:v>
                </c:pt>
                <c:pt idx="5">
                  <c:v>195487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D-4A7B-BC85-34FE46F75918}"/>
            </c:ext>
          </c:extLst>
        </c:ser>
        <c:ser>
          <c:idx val="1"/>
          <c:order val="1"/>
          <c:tx>
            <c:strRef>
              <c:f>Ventas!$B$6</c:f>
              <c:strCache>
                <c:ptCount val="1"/>
                <c:pt idx="0">
                  <c:v>Ventas Exterior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Ventas!$C$4:$K$4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</c:numCache>
            </c:numRef>
          </c:cat>
          <c:val>
            <c:numRef>
              <c:f>Ventas!$C$6:$H$6</c:f>
              <c:numCache>
                <c:formatCode>_-* #,##0_-;\-* #,##0_-;_-* "-"??_-;_-@_-</c:formatCode>
                <c:ptCount val="6"/>
                <c:pt idx="0">
                  <c:v>26659</c:v>
                </c:pt>
                <c:pt idx="1">
                  <c:v>46258</c:v>
                </c:pt>
                <c:pt idx="2">
                  <c:v>101372</c:v>
                </c:pt>
                <c:pt idx="3">
                  <c:v>96925</c:v>
                </c:pt>
                <c:pt idx="4">
                  <c:v>72237</c:v>
                </c:pt>
                <c:pt idx="5">
                  <c:v>82734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6D-4A7B-BC85-34FE46F75918}"/>
            </c:ext>
          </c:extLst>
        </c:ser>
        <c:ser>
          <c:idx val="2"/>
          <c:order val="2"/>
          <c:tx>
            <c:strRef>
              <c:f>Ventas!$B$7</c:f>
              <c:strCache>
                <c:ptCount val="1"/>
                <c:pt idx="0">
                  <c:v>Ventas a partes relacionadas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Ventas!$C$4:$K$4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</c:numCache>
            </c:numRef>
          </c:cat>
          <c:val>
            <c:numRef>
              <c:f>Ventas!$C$7:$H$7</c:f>
              <c:numCache>
                <c:formatCode>_-* #,##0_-;\-* #,##0_-;_-* "-"??_-;_-@_-</c:formatCode>
                <c:ptCount val="6"/>
                <c:pt idx="0">
                  <c:v>20235</c:v>
                </c:pt>
                <c:pt idx="1">
                  <c:v>26154</c:v>
                </c:pt>
                <c:pt idx="2">
                  <c:v>47671</c:v>
                </c:pt>
                <c:pt idx="3">
                  <c:v>135919</c:v>
                </c:pt>
                <c:pt idx="4">
                  <c:v>145020</c:v>
                </c:pt>
                <c:pt idx="5">
                  <c:v>174029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6D-4A7B-BC85-34FE46F75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981999"/>
        <c:axId val="1151406863"/>
      </c:lineChart>
      <c:catAx>
        <c:axId val="80998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1406863"/>
        <c:crosses val="autoZero"/>
        <c:auto val="1"/>
        <c:lblAlgn val="ctr"/>
        <c:lblOffset val="100"/>
        <c:noMultiLvlLbl val="0"/>
      </c:catAx>
      <c:valAx>
        <c:axId val="115140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998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'Costo de Ventas'!$B$5</c:f>
              <c:strCache>
                <c:ptCount val="1"/>
                <c:pt idx="0">
                  <c:v>Ingresos de actividades ordinarias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'Costo de Ventas'!$C$4:$H$4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'Costo de Ventas'!$C$5:$H$5</c:f>
              <c:numCache>
                <c:formatCode>_-* #,##0_-;\-* #,##0_-;_-* "-"??_-;_-@_-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1-4551-AD76-7AABFABA5047}"/>
            </c:ext>
          </c:extLst>
        </c:ser>
        <c:ser>
          <c:idx val="1"/>
          <c:order val="1"/>
          <c:tx>
            <c:strRef>
              <c:f>'Costo de Ventas'!$B$15</c:f>
              <c:strCache>
                <c:ptCount val="1"/>
                <c:pt idx="0">
                  <c:v>Costo Ventas Sin Gasto de Personal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'Costo de Ventas'!$C$4:$H$4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'Costo de Ventas'!$C$15:$H$15</c:f>
              <c:numCache>
                <c:formatCode>_-* #,##0_-;\-* #,##0_-;_-* "-"??_-;_-@_-</c:formatCode>
                <c:ptCount val="6"/>
                <c:pt idx="0">
                  <c:v>156744</c:v>
                </c:pt>
                <c:pt idx="1">
                  <c:v>155190</c:v>
                </c:pt>
                <c:pt idx="2">
                  <c:v>281942</c:v>
                </c:pt>
                <c:pt idx="3">
                  <c:v>363778</c:v>
                </c:pt>
                <c:pt idx="4">
                  <c:v>345224</c:v>
                </c:pt>
                <c:pt idx="5">
                  <c:v>394892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1-4551-AD76-7AABFABA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987168"/>
        <c:axId val="1250564144"/>
      </c:lineChart>
      <c:catAx>
        <c:axId val="13939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0564144"/>
        <c:crosses val="autoZero"/>
        <c:auto val="1"/>
        <c:lblAlgn val="ctr"/>
        <c:lblOffset val="100"/>
        <c:noMultiLvlLbl val="0"/>
      </c:catAx>
      <c:valAx>
        <c:axId val="12505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398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'Gasto de Personal'!$A$5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'Gasto de Personal'!$B$4:$G$4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Personal'!$B$5:$G$5</c:f>
              <c:numCache>
                <c:formatCode>#,##0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1-4F44-A169-55C355DA3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462271"/>
        <c:axId val="1394243408"/>
      </c:lineChart>
      <c:lineChart>
        <c:grouping val="standard"/>
        <c:varyColors val="0"/>
        <c:ser>
          <c:idx val="1"/>
          <c:order val="1"/>
          <c:tx>
            <c:strRef>
              <c:f>'Gasto de Personal'!$A$8</c:f>
              <c:strCache>
                <c:ptCount val="1"/>
                <c:pt idx="0">
                  <c:v>Remuneraciones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'Gasto de Personal'!$B$8:$G$8</c:f>
              <c:numCache>
                <c:formatCode>_-* #,##0_-;\-* #,##0_-;_-* "-"??_-;_-@_-</c:formatCode>
                <c:ptCount val="6"/>
                <c:pt idx="0">
                  <c:v>6557</c:v>
                </c:pt>
                <c:pt idx="1">
                  <c:v>5223</c:v>
                </c:pt>
                <c:pt idx="2">
                  <c:v>5213</c:v>
                </c:pt>
                <c:pt idx="3">
                  <c:v>6194</c:v>
                </c:pt>
                <c:pt idx="4">
                  <c:v>6248</c:v>
                </c:pt>
                <c:pt idx="5">
                  <c:v>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C1-4F44-A169-55C355DA3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972319"/>
        <c:axId val="1253214383"/>
      </c:lineChart>
      <c:catAx>
        <c:axId val="11264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4243408"/>
        <c:crosses val="autoZero"/>
        <c:auto val="1"/>
        <c:lblAlgn val="ctr"/>
        <c:lblOffset val="100"/>
        <c:noMultiLvlLbl val="0"/>
      </c:catAx>
      <c:valAx>
        <c:axId val="13942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6462271"/>
        <c:crosses val="autoZero"/>
        <c:crossBetween val="between"/>
      </c:valAx>
      <c:valAx>
        <c:axId val="1253214383"/>
        <c:scaling>
          <c:orientation val="minMax"/>
          <c:min val="4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4972319"/>
        <c:crosses val="max"/>
        <c:crossBetween val="between"/>
      </c:valAx>
      <c:catAx>
        <c:axId val="1124972319"/>
        <c:scaling>
          <c:orientation val="minMax"/>
        </c:scaling>
        <c:delete val="1"/>
        <c:axPos val="b"/>
        <c:majorTickMark val="out"/>
        <c:minorTickMark val="none"/>
        <c:tickLblPos val="nextTo"/>
        <c:crossAx val="125321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'Gasto de Ventas'!$A$5</c:f>
              <c:strCache>
                <c:ptCount val="1"/>
                <c:pt idx="0">
                  <c:v>Ingresos de actividades ordinarias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'Gasto de Ventas'!$B$4:$G$4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Ventas'!$B$5:$G$5</c:f>
              <c:numCache>
                <c:formatCode>#,##0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A-423F-A649-8A74310C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76815"/>
        <c:axId val="1873174415"/>
      </c:lineChart>
      <c:lineChart>
        <c:grouping val="standard"/>
        <c:varyColors val="0"/>
        <c:ser>
          <c:idx val="1"/>
          <c:order val="1"/>
          <c:tx>
            <c:strRef>
              <c:f>'Gasto de Ventas'!$A$10</c:f>
              <c:strCache>
                <c:ptCount val="1"/>
                <c:pt idx="0">
                  <c:v>Cargas diversas de gestión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'Gasto de Ventas'!$B$7:$G$7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Ventas'!$B$10:$G$10</c:f>
              <c:numCache>
                <c:formatCode>_-* #,##0_-;\-* #,##0_-;_-* "-"??_-;_-@_-</c:formatCode>
                <c:ptCount val="6"/>
                <c:pt idx="0">
                  <c:v>680</c:v>
                </c:pt>
                <c:pt idx="1">
                  <c:v>308</c:v>
                </c:pt>
                <c:pt idx="2">
                  <c:v>1178</c:v>
                </c:pt>
                <c:pt idx="3">
                  <c:v>574</c:v>
                </c:pt>
                <c:pt idx="4">
                  <c:v>1086</c:v>
                </c:pt>
                <c:pt idx="5">
                  <c:v>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A-423F-A649-8A74310C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58095"/>
        <c:axId val="1873148495"/>
      </c:lineChart>
      <c:catAx>
        <c:axId val="187317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74415"/>
        <c:crosses val="autoZero"/>
        <c:auto val="1"/>
        <c:lblAlgn val="ctr"/>
        <c:lblOffset val="100"/>
        <c:noMultiLvlLbl val="0"/>
      </c:catAx>
      <c:valAx>
        <c:axId val="187317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76815"/>
        <c:crosses val="autoZero"/>
        <c:crossBetween val="between"/>
      </c:valAx>
      <c:valAx>
        <c:axId val="1873148495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8095"/>
        <c:crosses val="max"/>
        <c:crossBetween val="between"/>
      </c:valAx>
      <c:catAx>
        <c:axId val="1873158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3148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'Gasto de Administración'!$A$5</c:f>
              <c:strCache>
                <c:ptCount val="1"/>
                <c:pt idx="0">
                  <c:v>Ingresos de actividades ordinarias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'Gasto de Administración'!$B$4:$G$4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Administración'!$B$5:$G$5</c:f>
              <c:numCache>
                <c:formatCode>#,##0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9-44BD-A20A-BC53D7CB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76815"/>
        <c:axId val="1873174415"/>
      </c:lineChart>
      <c:lineChart>
        <c:grouping val="standard"/>
        <c:varyColors val="0"/>
        <c:ser>
          <c:idx val="1"/>
          <c:order val="1"/>
          <c:tx>
            <c:strRef>
              <c:f>'Gasto de Administración'!$A$9</c:f>
              <c:strCache>
                <c:ptCount val="1"/>
                <c:pt idx="0">
                  <c:v>Servicios Recibidos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'Gasto de Ventas'!$B$7:$G$7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Administración'!$B$9:$G$9</c:f>
              <c:numCache>
                <c:formatCode>_-* #,##0_-;\-* #,##0_-;_-* "-"??_-;_-@_-</c:formatCode>
                <c:ptCount val="6"/>
                <c:pt idx="0">
                  <c:v>5730</c:v>
                </c:pt>
                <c:pt idx="1">
                  <c:v>4519</c:v>
                </c:pt>
                <c:pt idx="2">
                  <c:v>6703</c:v>
                </c:pt>
                <c:pt idx="3">
                  <c:v>7142</c:v>
                </c:pt>
                <c:pt idx="4">
                  <c:v>7354</c:v>
                </c:pt>
                <c:pt idx="5">
                  <c:v>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89-44BD-A20A-BC53D7CB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58095"/>
        <c:axId val="1873148495"/>
      </c:lineChart>
      <c:catAx>
        <c:axId val="187317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74415"/>
        <c:crosses val="autoZero"/>
        <c:auto val="1"/>
        <c:lblAlgn val="ctr"/>
        <c:lblOffset val="100"/>
        <c:noMultiLvlLbl val="0"/>
      </c:catAx>
      <c:valAx>
        <c:axId val="187317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76815"/>
        <c:crosses val="autoZero"/>
        <c:crossBetween val="between"/>
      </c:valAx>
      <c:valAx>
        <c:axId val="1873148495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8095"/>
        <c:crosses val="max"/>
        <c:crossBetween val="between"/>
      </c:valAx>
      <c:catAx>
        <c:axId val="1873158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3148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'Gasto de Administración'!$A$5</c:f>
              <c:strCache>
                <c:ptCount val="1"/>
                <c:pt idx="0">
                  <c:v>Ingresos de actividades ordinarias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'Gasto de Administración'!$B$4:$G$4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Administración'!$B$5:$G$5</c:f>
              <c:numCache>
                <c:formatCode>#,##0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D-4653-9140-1FD8E02E0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76815"/>
        <c:axId val="1873174415"/>
      </c:lineChart>
      <c:lineChart>
        <c:grouping val="standard"/>
        <c:varyColors val="0"/>
        <c:ser>
          <c:idx val="1"/>
          <c:order val="1"/>
          <c:tx>
            <c:strRef>
              <c:f>'Gasto de Administración'!$A$12</c:f>
              <c:strCache>
                <c:ptCount val="1"/>
                <c:pt idx="0">
                  <c:v>Cargas Diversas de gestión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'Gasto de Ventas'!$B$7:$G$7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de Administración'!$B$12:$G$12</c:f>
              <c:numCache>
                <c:formatCode>_-* #,##0_-;\-* #,##0_-;_-* "-"??_-;_-@_-</c:formatCode>
                <c:ptCount val="6"/>
                <c:pt idx="0">
                  <c:v>505</c:v>
                </c:pt>
                <c:pt idx="1">
                  <c:v>368</c:v>
                </c:pt>
                <c:pt idx="2">
                  <c:v>632</c:v>
                </c:pt>
                <c:pt idx="3">
                  <c:v>1255</c:v>
                </c:pt>
                <c:pt idx="4">
                  <c:v>2430</c:v>
                </c:pt>
                <c:pt idx="5">
                  <c:v>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5D-4653-9140-1FD8E02E0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58095"/>
        <c:axId val="1873148495"/>
      </c:lineChart>
      <c:catAx>
        <c:axId val="187317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74415"/>
        <c:crosses val="autoZero"/>
        <c:auto val="1"/>
        <c:lblAlgn val="ctr"/>
        <c:lblOffset val="100"/>
        <c:noMultiLvlLbl val="0"/>
      </c:catAx>
      <c:valAx>
        <c:axId val="187317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76815"/>
        <c:crosses val="autoZero"/>
        <c:crossBetween val="between"/>
      </c:valAx>
      <c:valAx>
        <c:axId val="1873148495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8095"/>
        <c:crosses val="max"/>
        <c:crossBetween val="between"/>
      </c:valAx>
      <c:catAx>
        <c:axId val="1873158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3148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'Ing Financieros'!$A$5</c:f>
              <c:strCache>
                <c:ptCount val="1"/>
                <c:pt idx="0">
                  <c:v>Ingresos Financieros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'Ing Financieros'!$B$8:$G$8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'Ing Financieros'!$B$5:$G$5</c:f>
              <c:numCache>
                <c:formatCode>#,##0</c:formatCode>
                <c:ptCount val="6"/>
                <c:pt idx="0">
                  <c:v>386</c:v>
                </c:pt>
                <c:pt idx="1">
                  <c:v>843</c:v>
                </c:pt>
                <c:pt idx="2">
                  <c:v>2507</c:v>
                </c:pt>
                <c:pt idx="3">
                  <c:v>1351</c:v>
                </c:pt>
                <c:pt idx="4">
                  <c:v>4855</c:v>
                </c:pt>
                <c:pt idx="5">
                  <c:v>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3-4304-8688-65A7BFF2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643471"/>
        <c:axId val="1656643951"/>
      </c:lineChart>
      <c:lineChart>
        <c:grouping val="standard"/>
        <c:varyColors val="0"/>
        <c:ser>
          <c:idx val="1"/>
          <c:order val="1"/>
          <c:tx>
            <c:strRef>
              <c:f>'Ing Financieros'!$A$11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'Ing Financieros'!$B$11:$G$11</c:f>
              <c:numCache>
                <c:formatCode>#,##0</c:formatCode>
                <c:ptCount val="6"/>
                <c:pt idx="0">
                  <c:v>26117</c:v>
                </c:pt>
                <c:pt idx="1">
                  <c:v>28393</c:v>
                </c:pt>
                <c:pt idx="2">
                  <c:v>39379</c:v>
                </c:pt>
                <c:pt idx="3">
                  <c:v>38071</c:v>
                </c:pt>
                <c:pt idx="4">
                  <c:v>36434</c:v>
                </c:pt>
                <c:pt idx="5">
                  <c:v>40500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3-4304-8688-65A7BFF2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987071"/>
        <c:axId val="1474985631"/>
      </c:lineChart>
      <c:catAx>
        <c:axId val="165664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643951"/>
        <c:crosses val="autoZero"/>
        <c:auto val="1"/>
        <c:lblAlgn val="ctr"/>
        <c:lblOffset val="100"/>
        <c:noMultiLvlLbl val="0"/>
      </c:catAx>
      <c:valAx>
        <c:axId val="16566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643471"/>
        <c:crosses val="autoZero"/>
        <c:crossBetween val="between"/>
      </c:valAx>
      <c:valAx>
        <c:axId val="147498563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987071"/>
        <c:crosses val="max"/>
        <c:crossBetween val="between"/>
      </c:valAx>
      <c:catAx>
        <c:axId val="1474987071"/>
        <c:scaling>
          <c:orientation val="minMax"/>
        </c:scaling>
        <c:delete val="1"/>
        <c:axPos val="b"/>
        <c:majorTickMark val="out"/>
        <c:minorTickMark val="none"/>
        <c:tickLblPos val="nextTo"/>
        <c:crossAx val="1474985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'Gasto Financiero'!$A$5</c:f>
              <c:strCache>
                <c:ptCount val="1"/>
                <c:pt idx="0">
                  <c:v>Gastos Financieros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'Gasto Financiero'!$B$8:$G$8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'Gasto Financiero'!$B$5:$G$5</c:f>
              <c:numCache>
                <c:formatCode>#,##0</c:formatCode>
                <c:ptCount val="6"/>
                <c:pt idx="0">
                  <c:v>976</c:v>
                </c:pt>
                <c:pt idx="1">
                  <c:v>1187</c:v>
                </c:pt>
                <c:pt idx="2">
                  <c:v>814</c:v>
                </c:pt>
                <c:pt idx="3">
                  <c:v>1449</c:v>
                </c:pt>
                <c:pt idx="4">
                  <c:v>1337</c:v>
                </c:pt>
                <c:pt idx="5">
                  <c:v>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B-4EC4-BF8B-FF9DFE89E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642031"/>
        <c:axId val="1656626671"/>
      </c:lineChart>
      <c:lineChart>
        <c:grouping val="standard"/>
        <c:varyColors val="0"/>
        <c:ser>
          <c:idx val="1"/>
          <c:order val="1"/>
          <c:tx>
            <c:strRef>
              <c:f>'Gasto Financiero'!$A$11</c:f>
              <c:strCache>
                <c:ptCount val="1"/>
                <c:pt idx="0">
                  <c:v>Total  arrendamiento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'Gasto Financiero'!$B$11:$G$11</c:f>
              <c:numCache>
                <c:formatCode>#,##0</c:formatCode>
                <c:ptCount val="6"/>
                <c:pt idx="0">
                  <c:v>3809</c:v>
                </c:pt>
                <c:pt idx="1">
                  <c:v>10322</c:v>
                </c:pt>
                <c:pt idx="2">
                  <c:v>6325</c:v>
                </c:pt>
                <c:pt idx="3">
                  <c:v>8949</c:v>
                </c:pt>
                <c:pt idx="4">
                  <c:v>6269</c:v>
                </c:pt>
                <c:pt idx="5">
                  <c:v>13753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B-4EC4-BF8B-FF9DFE89E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93071"/>
        <c:axId val="1656597391"/>
      </c:lineChart>
      <c:catAx>
        <c:axId val="165664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626671"/>
        <c:crosses val="autoZero"/>
        <c:auto val="1"/>
        <c:lblAlgn val="ctr"/>
        <c:lblOffset val="100"/>
        <c:noMultiLvlLbl val="0"/>
      </c:catAx>
      <c:valAx>
        <c:axId val="16566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642031"/>
        <c:crosses val="autoZero"/>
        <c:crossBetween val="between"/>
      </c:valAx>
      <c:valAx>
        <c:axId val="165659739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593071"/>
        <c:crosses val="max"/>
        <c:crossBetween val="between"/>
      </c:valAx>
      <c:catAx>
        <c:axId val="16565930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565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'Otros Gastos Op'!$A$5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'Otros Gastos Op'!$B$4:$G$4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'Otros Gastos Op'!$B$5:$G$5</c:f>
              <c:numCache>
                <c:formatCode>#,##0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C-4AD4-9A2F-1009494B9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462271"/>
        <c:axId val="1394243408"/>
      </c:lineChart>
      <c:lineChart>
        <c:grouping val="standard"/>
        <c:varyColors val="0"/>
        <c:ser>
          <c:idx val="1"/>
          <c:order val="1"/>
          <c:tx>
            <c:strRef>
              <c:f>'Otros Gastos Op'!$A$8</c:f>
              <c:strCache>
                <c:ptCount val="1"/>
                <c:pt idx="0">
                  <c:v>Otros Gastos Operativos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'Otros Gastos Op'!$B$8:$G$8</c:f>
              <c:numCache>
                <c:formatCode>_-* #,##0_-;\-* #,##0_-;_-* "-"??_-;_-@_-</c:formatCode>
                <c:ptCount val="6"/>
                <c:pt idx="0">
                  <c:v>11</c:v>
                </c:pt>
                <c:pt idx="1">
                  <c:v>10</c:v>
                </c:pt>
                <c:pt idx="2">
                  <c:v>41</c:v>
                </c:pt>
                <c:pt idx="3">
                  <c:v>50</c:v>
                </c:pt>
                <c:pt idx="4">
                  <c:v>36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C-4AD4-9A2F-1009494B9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972319"/>
        <c:axId val="1253214383"/>
      </c:lineChart>
      <c:catAx>
        <c:axId val="11264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4243408"/>
        <c:crosses val="autoZero"/>
        <c:auto val="1"/>
        <c:lblAlgn val="ctr"/>
        <c:lblOffset val="100"/>
        <c:noMultiLvlLbl val="0"/>
      </c:catAx>
      <c:valAx>
        <c:axId val="13942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6462271"/>
        <c:crosses val="autoZero"/>
        <c:crossBetween val="between"/>
      </c:valAx>
      <c:valAx>
        <c:axId val="1253214383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4972319"/>
        <c:crosses val="max"/>
        <c:crossBetween val="between"/>
      </c:valAx>
      <c:catAx>
        <c:axId val="1124972319"/>
        <c:scaling>
          <c:orientation val="minMax"/>
        </c:scaling>
        <c:delete val="1"/>
        <c:axPos val="b"/>
        <c:majorTickMark val="out"/>
        <c:minorTickMark val="none"/>
        <c:tickLblPos val="nextTo"/>
        <c:crossAx val="125321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IME!$A$5</c:f>
              <c:strCache>
                <c:ptCount val="1"/>
                <c:pt idx="0">
                  <c:v> Ingresos de actividades ordinarias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IME!$B$4:$G$4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IME!$B$5:$G$5</c:f>
              <c:numCache>
                <c:formatCode>_-* #,##0_-;\-* #,##0_-;_-* "-"??_-;_-@_-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F-4D1F-A542-CD634213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63855"/>
        <c:axId val="1873154735"/>
      </c:lineChart>
      <c:lineChart>
        <c:grouping val="standard"/>
        <c:varyColors val="0"/>
        <c:ser>
          <c:idx val="1"/>
          <c:order val="1"/>
          <c:tx>
            <c:strRef>
              <c:f>IME!$A$11</c:f>
              <c:strCache>
                <c:ptCount val="1"/>
                <c:pt idx="0">
                  <c:v>(+) Adiciones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IME!$B$11:$G$11</c:f>
              <c:numCache>
                <c:formatCode>General</c:formatCode>
                <c:ptCount val="6"/>
                <c:pt idx="0">
                  <c:v>2092</c:v>
                </c:pt>
                <c:pt idx="1">
                  <c:v>907</c:v>
                </c:pt>
                <c:pt idx="2">
                  <c:v>2170</c:v>
                </c:pt>
                <c:pt idx="3">
                  <c:v>4745</c:v>
                </c:pt>
                <c:pt idx="4">
                  <c:v>2922</c:v>
                </c:pt>
                <c:pt idx="5">
                  <c:v>3583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F-4D1F-A542-CD634213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57615"/>
        <c:axId val="1873165295"/>
      </c:lineChart>
      <c:catAx>
        <c:axId val="187316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4735"/>
        <c:crosses val="autoZero"/>
        <c:auto val="1"/>
        <c:lblAlgn val="ctr"/>
        <c:lblOffset val="100"/>
        <c:noMultiLvlLbl val="0"/>
      </c:catAx>
      <c:valAx>
        <c:axId val="18731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63855"/>
        <c:crosses val="autoZero"/>
        <c:crossBetween val="between"/>
      </c:valAx>
      <c:valAx>
        <c:axId val="1873165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7615"/>
        <c:crosses val="max"/>
        <c:crossBetween val="between"/>
      </c:valAx>
      <c:catAx>
        <c:axId val="187315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8731652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IME!$A$8</c:f>
              <c:strCache>
                <c:ptCount val="1"/>
                <c:pt idx="0">
                  <c:v>Costo Inicio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IME!$B$4:$G$4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IME!$B$8:$G$8</c:f>
              <c:numCache>
                <c:formatCode>#,##0</c:formatCode>
                <c:ptCount val="6"/>
                <c:pt idx="0" formatCode="_-* #,##0_-;\-* #,##0_-;_-* &quot;-&quot;??_-;_-@_-">
                  <c:v>38563</c:v>
                </c:pt>
                <c:pt idx="1">
                  <c:v>37597</c:v>
                </c:pt>
                <c:pt idx="2">
                  <c:v>27160</c:v>
                </c:pt>
                <c:pt idx="3">
                  <c:v>26929</c:v>
                </c:pt>
                <c:pt idx="4">
                  <c:v>29140</c:v>
                </c:pt>
                <c:pt idx="5">
                  <c:v>29112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0-43B6-91CB-EC3A3D50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63855"/>
        <c:axId val="1873154735"/>
      </c:lineChart>
      <c:lineChart>
        <c:grouping val="standard"/>
        <c:varyColors val="0"/>
        <c:ser>
          <c:idx val="1"/>
          <c:order val="1"/>
          <c:tx>
            <c:strRef>
              <c:f>IME!$A$14</c:f>
              <c:strCache>
                <c:ptCount val="1"/>
                <c:pt idx="0">
                  <c:v>(-) Depreciación historico 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IME!$B$14:$G$14</c:f>
              <c:numCache>
                <c:formatCode>General</c:formatCode>
                <c:ptCount val="6"/>
                <c:pt idx="0">
                  <c:v>3018</c:v>
                </c:pt>
                <c:pt idx="1">
                  <c:v>2674</c:v>
                </c:pt>
                <c:pt idx="2">
                  <c:v>2359</c:v>
                </c:pt>
                <c:pt idx="3" formatCode="#,##0">
                  <c:v>2471</c:v>
                </c:pt>
                <c:pt idx="4" formatCode="#,##0">
                  <c:v>2907</c:v>
                </c:pt>
                <c:pt idx="5" formatCode="#,##0">
                  <c:v>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0-43B6-91CB-EC3A3D50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57615"/>
        <c:axId val="1873165295"/>
      </c:lineChart>
      <c:catAx>
        <c:axId val="187316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4735"/>
        <c:crosses val="autoZero"/>
        <c:auto val="1"/>
        <c:lblAlgn val="ctr"/>
        <c:lblOffset val="100"/>
        <c:noMultiLvlLbl val="0"/>
      </c:catAx>
      <c:valAx>
        <c:axId val="18731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63855"/>
        <c:crosses val="autoZero"/>
        <c:crossBetween val="between"/>
      </c:valAx>
      <c:valAx>
        <c:axId val="1873165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7615"/>
        <c:crosses val="max"/>
        <c:crossBetween val="between"/>
      </c:valAx>
      <c:catAx>
        <c:axId val="187315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8731652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IME!$A$5</c:f>
              <c:strCache>
                <c:ptCount val="1"/>
                <c:pt idx="0">
                  <c:v> Ingresos de actividades ordinarias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IME!$B$4:$G$4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IME!$B$5:$G$5</c:f>
              <c:numCache>
                <c:formatCode>_-* #,##0_-;\-* #,##0_-;_-* "-"??_-;_-@_-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D-4A11-AC1A-FFD5B7F7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63855"/>
        <c:axId val="1873154735"/>
      </c:lineChart>
      <c:lineChart>
        <c:grouping val="standard"/>
        <c:varyColors val="0"/>
        <c:ser>
          <c:idx val="1"/>
          <c:order val="1"/>
          <c:tx>
            <c:strRef>
              <c:f>IME!$A$34</c:f>
              <c:strCache>
                <c:ptCount val="1"/>
                <c:pt idx="0">
                  <c:v>Activos por derecho de uso Fin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IME!$B$34:$G$34</c:f>
              <c:numCache>
                <c:formatCode>_-* #,##0_-;\-* #,##0_-;_-* "-"??_-;_-@_-</c:formatCode>
                <c:ptCount val="6"/>
                <c:pt idx="0">
                  <c:v>3716</c:v>
                </c:pt>
                <c:pt idx="1">
                  <c:v>8839</c:v>
                </c:pt>
                <c:pt idx="2">
                  <c:v>5945</c:v>
                </c:pt>
                <c:pt idx="3">
                  <c:v>8258</c:v>
                </c:pt>
                <c:pt idx="4">
                  <c:v>5590</c:v>
                </c:pt>
                <c:pt idx="5">
                  <c:v>13327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D-4A11-AC1A-FFD5B7F7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157615"/>
        <c:axId val="1873165295"/>
      </c:lineChart>
      <c:catAx>
        <c:axId val="187316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4735"/>
        <c:crosses val="autoZero"/>
        <c:auto val="1"/>
        <c:lblAlgn val="ctr"/>
        <c:lblOffset val="100"/>
        <c:noMultiLvlLbl val="0"/>
      </c:catAx>
      <c:valAx>
        <c:axId val="18731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63855"/>
        <c:crosses val="autoZero"/>
        <c:crossBetween val="between"/>
      </c:valAx>
      <c:valAx>
        <c:axId val="1873165295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3157615"/>
        <c:crosses val="max"/>
        <c:crossBetween val="between"/>
      </c:valAx>
      <c:catAx>
        <c:axId val="187315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8731652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'Fondo Maniobra'!$A$35</c:f>
              <c:strCache>
                <c:ptCount val="1"/>
                <c:pt idx="0">
                  <c:v>Compras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'Fondo Maniobra'!$B$34:$G$34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'Fondo Maniobra'!$B$35:$G$35</c:f>
              <c:numCache>
                <c:formatCode>_-* #,##0_-;\-* #,##0_-;_-* "-"??_-;_-@_-</c:formatCode>
                <c:ptCount val="6"/>
                <c:pt idx="0">
                  <c:v>164906</c:v>
                </c:pt>
                <c:pt idx="1">
                  <c:v>164081</c:v>
                </c:pt>
                <c:pt idx="2">
                  <c:v>304892</c:v>
                </c:pt>
                <c:pt idx="3">
                  <c:v>385214</c:v>
                </c:pt>
                <c:pt idx="4">
                  <c:v>341842</c:v>
                </c:pt>
                <c:pt idx="5">
                  <c:v>413264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B-4134-ABDE-52958F177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355760"/>
        <c:axId val="1080371776"/>
      </c:lineChart>
      <c:lineChart>
        <c:grouping val="standard"/>
        <c:varyColors val="0"/>
        <c:ser>
          <c:idx val="1"/>
          <c:order val="1"/>
          <c:tx>
            <c:strRef>
              <c:f>'Fondo Maniobra'!$A$38</c:f>
              <c:strCache>
                <c:ptCount val="1"/>
                <c:pt idx="0">
                  <c:v>CxP Prom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'Fondo Maniobra'!$B$38:$G$38</c:f>
              <c:numCache>
                <c:formatCode>#,##0</c:formatCode>
                <c:ptCount val="6"/>
                <c:pt idx="0">
                  <c:v>48760.5</c:v>
                </c:pt>
                <c:pt idx="1">
                  <c:v>50859.5</c:v>
                </c:pt>
                <c:pt idx="2">
                  <c:v>68998.5</c:v>
                </c:pt>
                <c:pt idx="3">
                  <c:v>107252</c:v>
                </c:pt>
                <c:pt idx="4">
                  <c:v>126825</c:v>
                </c:pt>
                <c:pt idx="5">
                  <c:v>125830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B-4134-ABDE-52958F177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965088"/>
        <c:axId val="2142170735"/>
      </c:lineChart>
      <c:catAx>
        <c:axId val="8533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0371776"/>
        <c:crosses val="autoZero"/>
        <c:auto val="1"/>
        <c:lblAlgn val="ctr"/>
        <c:lblOffset val="100"/>
        <c:noMultiLvlLbl val="0"/>
      </c:catAx>
      <c:valAx>
        <c:axId val="10803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53355760"/>
        <c:crosses val="autoZero"/>
        <c:crossBetween val="between"/>
      </c:valAx>
      <c:valAx>
        <c:axId val="214217073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0965088"/>
        <c:crosses val="max"/>
        <c:crossBetween val="between"/>
      </c:valAx>
      <c:catAx>
        <c:axId val="950965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142170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'Fondo Maniobra'!$B$7:$G$7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'Fondo Maniobra'!$B$13:$G$13</c:f>
              <c:numCache>
                <c:formatCode>0.00</c:formatCode>
                <c:ptCount val="6"/>
                <c:pt idx="0">
                  <c:v>42.23916561048798</c:v>
                </c:pt>
                <c:pt idx="1">
                  <c:v>39.795431371816292</c:v>
                </c:pt>
                <c:pt idx="2">
                  <c:v>24.946776455054497</c:v>
                </c:pt>
                <c:pt idx="3">
                  <c:v>23.503741530278813</c:v>
                </c:pt>
                <c:pt idx="4">
                  <c:v>23.487187422783848</c:v>
                </c:pt>
                <c:pt idx="5">
                  <c:v>21.657313432835821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94A-AEB5-1FF65B2220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0138608"/>
        <c:axId val="1560139088"/>
      </c:barChart>
      <c:catAx>
        <c:axId val="15601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60139088"/>
        <c:crosses val="autoZero"/>
        <c:auto val="1"/>
        <c:lblAlgn val="ctr"/>
        <c:lblOffset val="100"/>
        <c:noMultiLvlLbl val="0"/>
      </c:catAx>
      <c:valAx>
        <c:axId val="15601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601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'Fondo Maniobra'!$B$7:$G$7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'Fondo Maniobra'!$B$23:$G$23</c:f>
              <c:numCache>
                <c:formatCode>0.00</c:formatCode>
                <c:ptCount val="6"/>
                <c:pt idx="0">
                  <c:v>64.145423047772567</c:v>
                </c:pt>
                <c:pt idx="1">
                  <c:v>66.665226248533855</c:v>
                </c:pt>
                <c:pt idx="2">
                  <c:v>47.680525013270099</c:v>
                </c:pt>
                <c:pt idx="3">
                  <c:v>49.702614169182354</c:v>
                </c:pt>
                <c:pt idx="4">
                  <c:v>51.464855136751922</c:v>
                </c:pt>
                <c:pt idx="5">
                  <c:v>42.917333333333332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94A-AEB5-1FF65B2220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0138608"/>
        <c:axId val="1560139088"/>
      </c:barChart>
      <c:catAx>
        <c:axId val="15601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60139088"/>
        <c:crosses val="autoZero"/>
        <c:auto val="1"/>
        <c:lblAlgn val="ctr"/>
        <c:lblOffset val="100"/>
        <c:noMultiLvlLbl val="0"/>
      </c:catAx>
      <c:valAx>
        <c:axId val="15601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601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'Fondo Maniobra'!$B$7:$G$7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'Fondo Maniobra'!$B$40:$G$40</c:f>
              <c:numCache>
                <c:formatCode>_-* #,##0.00\ _€_-;\-* #,##0.00\ _€_-;_-* "-"??\ _€_-;_-@_-</c:formatCode>
                <c:ptCount val="6"/>
                <c:pt idx="0">
                  <c:v>106.44718809503597</c:v>
                </c:pt>
                <c:pt idx="1">
                  <c:v>111.58769144507896</c:v>
                </c:pt>
                <c:pt idx="2">
                  <c:v>81.469700746493842</c:v>
                </c:pt>
                <c:pt idx="3">
                  <c:v>100.23187111579537</c:v>
                </c:pt>
                <c:pt idx="4">
                  <c:v>133.56170394509746</c:v>
                </c:pt>
                <c:pt idx="5">
                  <c:v>109.61225753997445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94A-AEB5-1FF65B2220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0138608"/>
        <c:axId val="1560139088"/>
      </c:barChart>
      <c:catAx>
        <c:axId val="15601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60139088"/>
        <c:crosses val="autoZero"/>
        <c:auto val="1"/>
        <c:lblAlgn val="ctr"/>
        <c:lblOffset val="100"/>
        <c:noMultiLvlLbl val="0"/>
      </c:catAx>
      <c:valAx>
        <c:axId val="15601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_€_-;\-* #,##0.0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601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'Fondo Maniobra'!$A$37</c:f>
              <c:strCache>
                <c:ptCount val="1"/>
                <c:pt idx="0">
                  <c:v>CxP Fin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'Fondo Maniobra'!$B$34:$G$34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'Fondo Maniobra'!$B$37:$G$37</c:f>
              <c:numCache>
                <c:formatCode>#,##0</c:formatCode>
                <c:ptCount val="6"/>
                <c:pt idx="0">
                  <c:v>47859</c:v>
                </c:pt>
                <c:pt idx="1">
                  <c:v>53860</c:v>
                </c:pt>
                <c:pt idx="2">
                  <c:v>84137</c:v>
                </c:pt>
                <c:pt idx="3">
                  <c:v>130367</c:v>
                </c:pt>
                <c:pt idx="4">
                  <c:v>123283</c:v>
                </c:pt>
                <c:pt idx="5">
                  <c:v>128377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1-4672-90A5-2D50356C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355760"/>
        <c:axId val="1080371776"/>
      </c:lineChart>
      <c:lineChart>
        <c:grouping val="standard"/>
        <c:varyColors val="0"/>
        <c:ser>
          <c:idx val="1"/>
          <c:order val="1"/>
          <c:tx>
            <c:strRef>
              <c:f>'Fondo Maniobra'!$A$43</c:f>
              <c:strCache>
                <c:ptCount val="1"/>
                <c:pt idx="0">
                  <c:v>    Factoring con proveedores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'Fondo Maniobra'!$B$43:$G$43</c:f>
              <c:numCache>
                <c:formatCode>#,##0</c:formatCode>
                <c:ptCount val="6"/>
                <c:pt idx="0">
                  <c:v>42680</c:v>
                </c:pt>
                <c:pt idx="1">
                  <c:v>45104</c:v>
                </c:pt>
                <c:pt idx="2">
                  <c:v>63905</c:v>
                </c:pt>
                <c:pt idx="3">
                  <c:v>110118</c:v>
                </c:pt>
                <c:pt idx="4">
                  <c:v>109401</c:v>
                </c:pt>
                <c:pt idx="5">
                  <c:v>104317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1-4672-90A5-2D50356C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965088"/>
        <c:axId val="2142170735"/>
      </c:lineChart>
      <c:catAx>
        <c:axId val="8533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0371776"/>
        <c:crosses val="autoZero"/>
        <c:auto val="1"/>
        <c:lblAlgn val="ctr"/>
        <c:lblOffset val="100"/>
        <c:noMultiLvlLbl val="0"/>
      </c:catAx>
      <c:valAx>
        <c:axId val="10803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53355760"/>
        <c:crosses val="autoZero"/>
        <c:crossBetween val="between"/>
      </c:valAx>
      <c:valAx>
        <c:axId val="214217073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0965088"/>
        <c:crosses val="max"/>
        <c:crossBetween val="between"/>
      </c:valAx>
      <c:catAx>
        <c:axId val="950965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142170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Otros!$A$12</c:f>
              <c:strCache>
                <c:ptCount val="1"/>
                <c:pt idx="0">
                  <c:v>Ingresos de actividades ordinarias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Otros!$B$11:$G$11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Otros!$B$12:$G$12</c:f>
              <c:numCache>
                <c:formatCode>_-* #,##0_-;\-* #,##0_-;_-* "-"??_-;_-@_-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D-4D55-A3C5-5004C4AA7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170671"/>
        <c:axId val="548524624"/>
      </c:lineChart>
      <c:lineChart>
        <c:grouping val="standard"/>
        <c:varyColors val="0"/>
        <c:ser>
          <c:idx val="1"/>
          <c:order val="1"/>
          <c:tx>
            <c:strRef>
              <c:f>Otros!$A$13</c:f>
              <c:strCache>
                <c:ptCount val="1"/>
                <c:pt idx="0">
                  <c:v>Otras Cuentas por Cobrar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Otros!$B$11:$G$11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Otros!$B$13:$G$13</c:f>
              <c:numCache>
                <c:formatCode>_-* #,##0_-;\-* #,##0_-;_-* "-"??_-;_-@_-</c:formatCode>
                <c:ptCount val="6"/>
                <c:pt idx="0">
                  <c:v>3367</c:v>
                </c:pt>
                <c:pt idx="1">
                  <c:v>4791</c:v>
                </c:pt>
                <c:pt idx="2">
                  <c:v>7889</c:v>
                </c:pt>
                <c:pt idx="3">
                  <c:v>13573</c:v>
                </c:pt>
                <c:pt idx="4">
                  <c:v>8319</c:v>
                </c:pt>
                <c:pt idx="5">
                  <c:v>15067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D-4D55-A3C5-5004C4AA7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175951"/>
        <c:axId val="1026994175"/>
      </c:lineChart>
      <c:catAx>
        <c:axId val="162717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8524624"/>
        <c:crosses val="autoZero"/>
        <c:auto val="1"/>
        <c:lblAlgn val="ctr"/>
        <c:lblOffset val="100"/>
        <c:noMultiLvlLbl val="0"/>
      </c:catAx>
      <c:valAx>
        <c:axId val="54852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27170671"/>
        <c:crosses val="autoZero"/>
        <c:crossBetween val="between"/>
      </c:valAx>
      <c:valAx>
        <c:axId val="1026994175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27175951"/>
        <c:crosses val="max"/>
        <c:crossBetween val="between"/>
      </c:valAx>
      <c:catAx>
        <c:axId val="1627175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699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'Pasivo Arrendamiento'!$A$5</c:f>
              <c:strCache>
                <c:ptCount val="1"/>
                <c:pt idx="0">
                  <c:v>Ingresos de actividades ordinarias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'Pasivo Arrendamiento'!$B$4:$G$4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'Pasivo Arrendamiento'!$B$5:$G$5</c:f>
              <c:numCache>
                <c:formatCode>_-* #,##0_-;\-* #,##0_-;_-* "-"??_-;_-@_-</c:formatCode>
                <c:ptCount val="6"/>
                <c:pt idx="0">
                  <c:v>199619</c:v>
                </c:pt>
                <c:pt idx="1">
                  <c:v>187321</c:v>
                </c:pt>
                <c:pt idx="2">
                  <c:v>330211</c:v>
                </c:pt>
                <c:pt idx="3">
                  <c:v>424158</c:v>
                </c:pt>
                <c:pt idx="4">
                  <c:v>400661</c:v>
                </c:pt>
                <c:pt idx="5">
                  <c:v>452250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6-4C2B-B2B9-0B705C8F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990431"/>
        <c:axId val="1474976991"/>
      </c:lineChart>
      <c:lineChart>
        <c:grouping val="standard"/>
        <c:varyColors val="0"/>
        <c:ser>
          <c:idx val="1"/>
          <c:order val="1"/>
          <c:tx>
            <c:strRef>
              <c:f>'Pasivo Arrendamiento'!$A$11</c:f>
              <c:strCache>
                <c:ptCount val="1"/>
                <c:pt idx="0">
                  <c:v>Total Arrendamiento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'Pasivo Arrendamiento'!$B$11:$G$11</c:f>
              <c:numCache>
                <c:formatCode>_-* #,##0_-;\-* #,##0_-;_-* "-"??_-;_-@_-</c:formatCode>
                <c:ptCount val="6"/>
                <c:pt idx="0">
                  <c:v>3809</c:v>
                </c:pt>
                <c:pt idx="1">
                  <c:v>10322</c:v>
                </c:pt>
                <c:pt idx="2">
                  <c:v>6325</c:v>
                </c:pt>
                <c:pt idx="3">
                  <c:v>8949</c:v>
                </c:pt>
                <c:pt idx="4">
                  <c:v>6269</c:v>
                </c:pt>
                <c:pt idx="5">
                  <c:v>13753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6-4C2B-B2B9-0B705C8F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627631"/>
        <c:axId val="1656634831"/>
      </c:lineChart>
      <c:catAx>
        <c:axId val="147499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976991"/>
        <c:crosses val="autoZero"/>
        <c:auto val="1"/>
        <c:lblAlgn val="ctr"/>
        <c:lblOffset val="100"/>
        <c:noMultiLvlLbl val="0"/>
      </c:catAx>
      <c:valAx>
        <c:axId val="147497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990431"/>
        <c:crosses val="autoZero"/>
        <c:crossBetween val="between"/>
      </c:valAx>
      <c:valAx>
        <c:axId val="1656634831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627631"/>
        <c:crosses val="max"/>
        <c:crossBetween val="between"/>
      </c:valAx>
      <c:catAx>
        <c:axId val="1656627631"/>
        <c:scaling>
          <c:orientation val="minMax"/>
        </c:scaling>
        <c:delete val="1"/>
        <c:axPos val="b"/>
        <c:majorTickMark val="out"/>
        <c:minorTickMark val="none"/>
        <c:tickLblPos val="nextTo"/>
        <c:crossAx val="1656634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$L$6" fmlaRange="$K$10:$K$12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hyperlink" Target="#MENU!A1"/><Relationship Id="rId4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hyperlink" Target="#MENU!A1"/><Relationship Id="rId1" Type="http://schemas.openxmlformats.org/officeDocument/2006/relationships/chart" Target="../charts/chart14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559998</xdr:colOff>
      <xdr:row>0</xdr:row>
      <xdr:rowOff>67823</xdr:rowOff>
    </xdr:from>
    <xdr:to>
      <xdr:col>13</xdr:col>
      <xdr:colOff>821966</xdr:colOff>
      <xdr:row>2</xdr:row>
      <xdr:rowOff>67822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55A2E-F974-7256-3D89-752EE90ADBEC}"/>
            </a:ext>
          </a:extLst>
        </xdr:cNvPr>
        <xdr:cNvSpPr/>
      </xdr:nvSpPr>
      <xdr:spPr>
        <a:xfrm>
          <a:off x="12302418" y="67823"/>
          <a:ext cx="1123028" cy="38099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1668780</xdr:colOff>
          <xdr:row>4</xdr:row>
          <xdr:rowOff>175260</xdr:rowOff>
        </xdr:from>
        <xdr:to>
          <xdr:col>12</xdr:col>
          <xdr:colOff>76200</xdr:colOff>
          <xdr:row>6</xdr:row>
          <xdr:rowOff>45720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0</xdr:row>
      <xdr:rowOff>60960</xdr:rowOff>
    </xdr:from>
    <xdr:to>
      <xdr:col>9</xdr:col>
      <xdr:colOff>854529</xdr:colOff>
      <xdr:row>2</xdr:row>
      <xdr:rowOff>87086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82DCE-BECC-4754-BEAD-F61CC6E33BC6}"/>
            </a:ext>
          </a:extLst>
        </xdr:cNvPr>
        <xdr:cNvSpPr/>
      </xdr:nvSpPr>
      <xdr:spPr>
        <a:xfrm>
          <a:off x="9791700" y="6096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0</xdr:row>
      <xdr:rowOff>76200</xdr:rowOff>
    </xdr:from>
    <xdr:to>
      <xdr:col>9</xdr:col>
      <xdr:colOff>785949</xdr:colOff>
      <xdr:row>2</xdr:row>
      <xdr:rowOff>102326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38E32-D132-4956-91F2-068BE8EB0189}"/>
            </a:ext>
          </a:extLst>
        </xdr:cNvPr>
        <xdr:cNvSpPr/>
      </xdr:nvSpPr>
      <xdr:spPr>
        <a:xfrm>
          <a:off x="7360920" y="7620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0</xdr:row>
      <xdr:rowOff>45720</xdr:rowOff>
    </xdr:from>
    <xdr:to>
      <xdr:col>10</xdr:col>
      <xdr:colOff>31569</xdr:colOff>
      <xdr:row>2</xdr:row>
      <xdr:rowOff>71846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10B63A-713E-4556-B4B5-4F5072251D7D}"/>
            </a:ext>
          </a:extLst>
        </xdr:cNvPr>
        <xdr:cNvSpPr/>
      </xdr:nvSpPr>
      <xdr:spPr>
        <a:xfrm>
          <a:off x="8656320" y="4572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754380</xdr:colOff>
      <xdr:row>0</xdr:row>
      <xdr:rowOff>83820</xdr:rowOff>
    </xdr:from>
    <xdr:to>
      <xdr:col>6</xdr:col>
      <xdr:colOff>1875609</xdr:colOff>
      <xdr:row>2</xdr:row>
      <xdr:rowOff>109946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9DCEA8-8140-4690-8906-B9836E99E92D}"/>
            </a:ext>
          </a:extLst>
        </xdr:cNvPr>
        <xdr:cNvSpPr/>
      </xdr:nvSpPr>
      <xdr:spPr>
        <a:xfrm>
          <a:off x="6804660" y="8382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14</xdr:row>
      <xdr:rowOff>11430</xdr:rowOff>
    </xdr:from>
    <xdr:to>
      <xdr:col>6</xdr:col>
      <xdr:colOff>312420</xdr:colOff>
      <xdr:row>29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10497D-BBEB-CB76-C021-C15A47014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411480</xdr:colOff>
      <xdr:row>13</xdr:row>
      <xdr:rowOff>156210</xdr:rowOff>
    </xdr:from>
    <xdr:to>
      <xdr:col>12</xdr:col>
      <xdr:colOff>236220</xdr:colOff>
      <xdr:row>28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880D16-5277-1894-3B4F-7DCA5327F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502920</xdr:colOff>
      <xdr:row>0</xdr:row>
      <xdr:rowOff>68580</xdr:rowOff>
    </xdr:from>
    <xdr:to>
      <xdr:col>11</xdr:col>
      <xdr:colOff>39189</xdr:colOff>
      <xdr:row>2</xdr:row>
      <xdr:rowOff>94706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7F521A-3944-4163-AABC-1FD0D6552F30}"/>
            </a:ext>
          </a:extLst>
        </xdr:cNvPr>
        <xdr:cNvSpPr/>
      </xdr:nvSpPr>
      <xdr:spPr>
        <a:xfrm>
          <a:off x="7985760" y="6858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3</xdr:row>
      <xdr:rowOff>64770</xdr:rowOff>
    </xdr:from>
    <xdr:to>
      <xdr:col>16</xdr:col>
      <xdr:colOff>777240</xdr:colOff>
      <xdr:row>18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8C015C-9127-6306-3CF5-5CB6E36FA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449580</xdr:colOff>
      <xdr:row>0</xdr:row>
      <xdr:rowOff>45720</xdr:rowOff>
    </xdr:from>
    <xdr:to>
      <xdr:col>10</xdr:col>
      <xdr:colOff>778329</xdr:colOff>
      <xdr:row>2</xdr:row>
      <xdr:rowOff>71846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1EDEA1-090D-41A2-8A82-658554A7F8CB}"/>
            </a:ext>
          </a:extLst>
        </xdr:cNvPr>
        <xdr:cNvSpPr/>
      </xdr:nvSpPr>
      <xdr:spPr>
        <a:xfrm>
          <a:off x="7962900" y="4572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480060</xdr:colOff>
      <xdr:row>3</xdr:row>
      <xdr:rowOff>49530</xdr:rowOff>
    </xdr:from>
    <xdr:to>
      <xdr:col>16</xdr:col>
      <xdr:colOff>297180</xdr:colOff>
      <xdr:row>18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E779A2-439E-3EBD-C646-18043B84B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708660</xdr:colOff>
      <xdr:row>0</xdr:row>
      <xdr:rowOff>38100</xdr:rowOff>
    </xdr:from>
    <xdr:to>
      <xdr:col>10</xdr:col>
      <xdr:colOff>1089</xdr:colOff>
      <xdr:row>2</xdr:row>
      <xdr:rowOff>64226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B3102A-571D-4847-BBF2-3A1FD90A3E7A}"/>
            </a:ext>
          </a:extLst>
        </xdr:cNvPr>
        <xdr:cNvSpPr/>
      </xdr:nvSpPr>
      <xdr:spPr>
        <a:xfrm>
          <a:off x="7429500" y="3810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487680</xdr:colOff>
      <xdr:row>0</xdr:row>
      <xdr:rowOff>68580</xdr:rowOff>
    </xdr:from>
    <xdr:to>
      <xdr:col>10</xdr:col>
      <xdr:colOff>23949</xdr:colOff>
      <xdr:row>2</xdr:row>
      <xdr:rowOff>94706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0A049-8AB2-4F47-9593-9361EA8E14C0}"/>
            </a:ext>
          </a:extLst>
        </xdr:cNvPr>
        <xdr:cNvSpPr/>
      </xdr:nvSpPr>
      <xdr:spPr>
        <a:xfrm>
          <a:off x="7170420" y="6858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10</xdr:col>
      <xdr:colOff>470452</xdr:colOff>
      <xdr:row>5</xdr:row>
      <xdr:rowOff>82826</xdr:rowOff>
    </xdr:from>
    <xdr:to>
      <xdr:col>16</xdr:col>
      <xdr:colOff>271670</xdr:colOff>
      <xdr:row>20</xdr:row>
      <xdr:rowOff>43069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140167-5B8D-B959-72AC-127F17AB1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0</xdr:row>
      <xdr:rowOff>38100</xdr:rowOff>
    </xdr:from>
    <xdr:to>
      <xdr:col>9</xdr:col>
      <xdr:colOff>785949</xdr:colOff>
      <xdr:row>2</xdr:row>
      <xdr:rowOff>64226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8C239B-40E5-4D86-A2DA-312FA5D47E83}"/>
            </a:ext>
          </a:extLst>
        </xdr:cNvPr>
        <xdr:cNvSpPr/>
      </xdr:nvSpPr>
      <xdr:spPr>
        <a:xfrm>
          <a:off x="7139940" y="3810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10</xdr:col>
      <xdr:colOff>220980</xdr:colOff>
      <xdr:row>5</xdr:row>
      <xdr:rowOff>60960</xdr:rowOff>
    </xdr:from>
    <xdr:to>
      <xdr:col>16</xdr:col>
      <xdr:colOff>22198</xdr:colOff>
      <xdr:row>20</xdr:row>
      <xdr:rowOff>21203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EE3A7B-1A8B-40BE-93CE-F6297B1A7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213360</xdr:colOff>
      <xdr:row>20</xdr:row>
      <xdr:rowOff>167640</xdr:rowOff>
    </xdr:from>
    <xdr:to>
      <xdr:col>16</xdr:col>
      <xdr:colOff>14578</xdr:colOff>
      <xdr:row>35</xdr:row>
      <xdr:rowOff>127883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0825EA-1C0D-460E-8D0F-265BB88B0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0</xdr:row>
      <xdr:rowOff>68580</xdr:rowOff>
    </xdr:from>
    <xdr:to>
      <xdr:col>9</xdr:col>
      <xdr:colOff>755469</xdr:colOff>
      <xdr:row>2</xdr:row>
      <xdr:rowOff>94706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8FF631-DAAD-4867-858D-0C78D3CB2649}"/>
            </a:ext>
          </a:extLst>
        </xdr:cNvPr>
        <xdr:cNvSpPr/>
      </xdr:nvSpPr>
      <xdr:spPr>
        <a:xfrm>
          <a:off x="11201400" y="6858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0</xdr:col>
      <xdr:colOff>2827020</xdr:colOff>
      <xdr:row>11</xdr:row>
      <xdr:rowOff>179070</xdr:rowOff>
    </xdr:from>
    <xdr:to>
      <xdr:col>3</xdr:col>
      <xdr:colOff>586740</xdr:colOff>
      <xdr:row>26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6EDD76-E72F-233C-E955-484F2B622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464820</xdr:colOff>
      <xdr:row>0</xdr:row>
      <xdr:rowOff>53340</xdr:rowOff>
    </xdr:from>
    <xdr:to>
      <xdr:col>10</xdr:col>
      <xdr:colOff>1089</xdr:colOff>
      <xdr:row>2</xdr:row>
      <xdr:rowOff>79466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C643B-86B2-46E0-B267-A8A2A8F47D03}"/>
            </a:ext>
          </a:extLst>
        </xdr:cNvPr>
        <xdr:cNvSpPr/>
      </xdr:nvSpPr>
      <xdr:spPr>
        <a:xfrm>
          <a:off x="8717280" y="5334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1</xdr:col>
      <xdr:colOff>411480</xdr:colOff>
      <xdr:row>12</xdr:row>
      <xdr:rowOff>41910</xdr:rowOff>
    </xdr:from>
    <xdr:to>
      <xdr:col>8</xdr:col>
      <xdr:colOff>228600</xdr:colOff>
      <xdr:row>27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BEEBE3-CA24-D319-4366-3CD33CDEA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8</xdr:row>
      <xdr:rowOff>140970</xdr:rowOff>
    </xdr:from>
    <xdr:to>
      <xdr:col>9</xdr:col>
      <xdr:colOff>419100</xdr:colOff>
      <xdr:row>23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C83C86-509D-48F7-8506-579747E7E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0</xdr:row>
      <xdr:rowOff>76200</xdr:rowOff>
    </xdr:from>
    <xdr:to>
      <xdr:col>9</xdr:col>
      <xdr:colOff>785949</xdr:colOff>
      <xdr:row>2</xdr:row>
      <xdr:rowOff>102326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AE3873-6E75-402A-90F6-F4C82D40A6E2}"/>
            </a:ext>
          </a:extLst>
        </xdr:cNvPr>
        <xdr:cNvSpPr/>
      </xdr:nvSpPr>
      <xdr:spPr>
        <a:xfrm>
          <a:off x="7086600" y="7620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883920</xdr:colOff>
      <xdr:row>0</xdr:row>
      <xdr:rowOff>53340</xdr:rowOff>
    </xdr:from>
    <xdr:to>
      <xdr:col>9</xdr:col>
      <xdr:colOff>999309</xdr:colOff>
      <xdr:row>2</xdr:row>
      <xdr:rowOff>79466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08885-026F-487E-91EA-FB0AF62BD105}"/>
            </a:ext>
          </a:extLst>
        </xdr:cNvPr>
        <xdr:cNvSpPr/>
      </xdr:nvSpPr>
      <xdr:spPr>
        <a:xfrm>
          <a:off x="9616440" y="5334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487680</xdr:colOff>
      <xdr:row>0</xdr:row>
      <xdr:rowOff>15240</xdr:rowOff>
    </xdr:from>
    <xdr:to>
      <xdr:col>10</xdr:col>
      <xdr:colOff>23949</xdr:colOff>
      <xdr:row>2</xdr:row>
      <xdr:rowOff>41366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12E63-E568-4581-A191-100E36C29539}"/>
            </a:ext>
          </a:extLst>
        </xdr:cNvPr>
        <xdr:cNvSpPr/>
      </xdr:nvSpPr>
      <xdr:spPr>
        <a:xfrm>
          <a:off x="8138160" y="1524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10</xdr:col>
      <xdr:colOff>182880</xdr:colOff>
      <xdr:row>3</xdr:row>
      <xdr:rowOff>140970</xdr:rowOff>
    </xdr:from>
    <xdr:to>
      <xdr:col>16</xdr:col>
      <xdr:colOff>0</xdr:colOff>
      <xdr:row>18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829C18-7E84-53B2-ECEE-83519557D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179294</xdr:colOff>
      <xdr:row>19</xdr:row>
      <xdr:rowOff>1</xdr:rowOff>
    </xdr:from>
    <xdr:to>
      <xdr:col>15</xdr:col>
      <xdr:colOff>785308</xdr:colOff>
      <xdr:row>34</xdr:row>
      <xdr:rowOff>2242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62F452-FE96-4CEE-8F41-51F2502F6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188259</xdr:colOff>
      <xdr:row>34</xdr:row>
      <xdr:rowOff>134471</xdr:rowOff>
    </xdr:from>
    <xdr:to>
      <xdr:col>16</xdr:col>
      <xdr:colOff>5379</xdr:colOff>
      <xdr:row>49</xdr:row>
      <xdr:rowOff>136712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0B6CA8-4D51-4200-9CB9-706A1E24B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335280</xdr:colOff>
      <xdr:row>34</xdr:row>
      <xdr:rowOff>170497</xdr:rowOff>
    </xdr:from>
    <xdr:to>
      <xdr:col>16</xdr:col>
      <xdr:colOff>167640</xdr:colOff>
      <xdr:row>50</xdr:row>
      <xdr:rowOff>16192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8210B1B-C437-F732-FA49-317B8ED96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0</xdr:row>
      <xdr:rowOff>76200</xdr:rowOff>
    </xdr:from>
    <xdr:to>
      <xdr:col>10</xdr:col>
      <xdr:colOff>31569</xdr:colOff>
      <xdr:row>2</xdr:row>
      <xdr:rowOff>102326</xdr:rowOff>
    </xdr:to>
    <xdr:sp macro="" textlink="">
      <xdr:nvSpPr>
        <xdr:cNvPr id="2" name="Rectángu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A66972-5EEB-4557-9658-2B5FAEC7D0BE}"/>
            </a:ext>
          </a:extLst>
        </xdr:cNvPr>
        <xdr:cNvSpPr/>
      </xdr:nvSpPr>
      <xdr:spPr>
        <a:xfrm>
          <a:off x="7330440" y="7620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10</xdr:col>
      <xdr:colOff>335280</xdr:colOff>
      <xdr:row>5</xdr:row>
      <xdr:rowOff>53340</xdr:rowOff>
    </xdr:from>
    <xdr:to>
      <xdr:col>14</xdr:col>
      <xdr:colOff>548640</xdr:colOff>
      <xdr:row>13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6D8A2E-6026-FF50-EB24-CC14DB67F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335280</xdr:colOff>
      <xdr:row>15</xdr:row>
      <xdr:rowOff>175260</xdr:rowOff>
    </xdr:from>
    <xdr:to>
      <xdr:col>14</xdr:col>
      <xdr:colOff>548640</xdr:colOff>
      <xdr:row>23</xdr:row>
      <xdr:rowOff>53340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7033A9-398B-9715-233B-0C73F1084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335280</xdr:colOff>
      <xdr:row>26</xdr:row>
      <xdr:rowOff>167640</xdr:rowOff>
    </xdr:from>
    <xdr:to>
      <xdr:col>14</xdr:col>
      <xdr:colOff>548640</xdr:colOff>
      <xdr:row>33</xdr:row>
      <xdr:rowOff>129540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60B2B7-74A1-AFF4-4073-2B4486C1C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297180</xdr:colOff>
      <xdr:row>47</xdr:row>
      <xdr:rowOff>30480</xdr:rowOff>
    </xdr:from>
    <xdr:to>
      <xdr:col>8</xdr:col>
      <xdr:colOff>129540</xdr:colOff>
      <xdr:row>62</xdr:row>
      <xdr:rowOff>59055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6277FA-A8F5-478F-9162-9E79CF2E4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716280</xdr:colOff>
      <xdr:row>5</xdr:row>
      <xdr:rowOff>45720</xdr:rowOff>
    </xdr:from>
    <xdr:to>
      <xdr:col>16</xdr:col>
      <xdr:colOff>155400</xdr:colOff>
      <xdr:row>16</xdr:row>
      <xdr:rowOff>8640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01F72A-067C-4A40-8BFB-87F75DC3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502920</xdr:colOff>
      <xdr:row>0</xdr:row>
      <xdr:rowOff>53340</xdr:rowOff>
    </xdr:from>
    <xdr:to>
      <xdr:col>10</xdr:col>
      <xdr:colOff>39189</xdr:colOff>
      <xdr:row>2</xdr:row>
      <xdr:rowOff>79466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E02303-AC4F-4726-ACE5-38AE7C5EFDBD}"/>
            </a:ext>
          </a:extLst>
        </xdr:cNvPr>
        <xdr:cNvSpPr/>
      </xdr:nvSpPr>
      <xdr:spPr>
        <a:xfrm>
          <a:off x="7185660" y="5334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0</xdr:row>
      <xdr:rowOff>53340</xdr:rowOff>
    </xdr:from>
    <xdr:to>
      <xdr:col>9</xdr:col>
      <xdr:colOff>785949</xdr:colOff>
      <xdr:row>2</xdr:row>
      <xdr:rowOff>79466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AA6F10-7B29-4168-A73A-FBE2A495EA84}"/>
            </a:ext>
          </a:extLst>
        </xdr:cNvPr>
        <xdr:cNvSpPr/>
      </xdr:nvSpPr>
      <xdr:spPr>
        <a:xfrm>
          <a:off x="7299960" y="5334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  <xdr:twoCellAnchor>
    <xdr:from>
      <xdr:col>10</xdr:col>
      <xdr:colOff>160020</xdr:colOff>
      <xdr:row>3</xdr:row>
      <xdr:rowOff>118110</xdr:rowOff>
    </xdr:from>
    <xdr:to>
      <xdr:col>15</xdr:col>
      <xdr:colOff>769620</xdr:colOff>
      <xdr:row>18</xdr:row>
      <xdr:rowOff>118110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D3BEA3-9942-4FD5-EA43-BB015097C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45720</xdr:rowOff>
    </xdr:from>
    <xdr:to>
      <xdr:col>4</xdr:col>
      <xdr:colOff>23949</xdr:colOff>
      <xdr:row>2</xdr:row>
      <xdr:rowOff>71846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870985-705C-488E-B8AC-63273319FE39}"/>
            </a:ext>
          </a:extLst>
        </xdr:cNvPr>
        <xdr:cNvSpPr/>
      </xdr:nvSpPr>
      <xdr:spPr>
        <a:xfrm>
          <a:off x="5288280" y="45720"/>
          <a:ext cx="1121229" cy="39188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8B28-9CB9-4DB6-A790-CA435E8BD1C2}">
  <dimension ref="B2:F14"/>
  <sheetViews>
    <sheetView showGridLines="0" tabSelected="1" workbookViewId="0">
      <selection activeCell="B16" sqref="B16"/>
    </sheetView>
  </sheetViews>
  <sheetFormatPr baseColWidth="10" defaultRowHeight="14.4" x14ac:dyDescent="0.3"/>
  <cols>
    <col min="2" max="2" width="45.5546875" customWidth="1"/>
    <col min="4" max="4" width="45.5546875" customWidth="1"/>
    <col min="6" max="6" width="50.21875" bestFit="1" customWidth="1"/>
  </cols>
  <sheetData>
    <row r="2" spans="2:6" ht="22.2" x14ac:dyDescent="0.45">
      <c r="B2" s="174" t="s">
        <v>202</v>
      </c>
      <c r="C2" s="174"/>
      <c r="D2" s="174"/>
      <c r="E2" s="174"/>
      <c r="F2" s="174"/>
    </row>
    <row r="4" spans="2:6" ht="21" x14ac:dyDescent="0.4">
      <c r="B4" s="265" t="s">
        <v>232</v>
      </c>
      <c r="D4" s="265" t="s">
        <v>230</v>
      </c>
      <c r="F4" s="265" t="s">
        <v>231</v>
      </c>
    </row>
    <row r="6" spans="2:6" ht="21" x14ac:dyDescent="0.4">
      <c r="B6" s="266" t="s">
        <v>192</v>
      </c>
      <c r="D6" s="206" t="s">
        <v>59</v>
      </c>
      <c r="F6" s="173" t="s">
        <v>165</v>
      </c>
    </row>
    <row r="7" spans="2:6" ht="21" x14ac:dyDescent="0.4">
      <c r="D7" s="206" t="s">
        <v>29</v>
      </c>
      <c r="F7" s="173" t="s">
        <v>198</v>
      </c>
    </row>
    <row r="8" spans="2:6" ht="21" x14ac:dyDescent="0.4">
      <c r="B8" s="265" t="s">
        <v>229</v>
      </c>
      <c r="D8" s="206" t="s">
        <v>163</v>
      </c>
      <c r="F8" s="173" t="s">
        <v>199</v>
      </c>
    </row>
    <row r="9" spans="2:6" ht="21" x14ac:dyDescent="0.4">
      <c r="D9" s="206" t="s">
        <v>144</v>
      </c>
      <c r="F9" s="173" t="s">
        <v>200</v>
      </c>
    </row>
    <row r="10" spans="2:6" ht="21" x14ac:dyDescent="0.4">
      <c r="B10" s="205" t="s">
        <v>193</v>
      </c>
      <c r="D10" s="206" t="s">
        <v>145</v>
      </c>
    </row>
    <row r="11" spans="2:6" ht="21" x14ac:dyDescent="0.4">
      <c r="B11" s="205" t="s">
        <v>194</v>
      </c>
      <c r="D11" s="206" t="s">
        <v>33</v>
      </c>
      <c r="F11" s="235" t="s">
        <v>233</v>
      </c>
    </row>
    <row r="12" spans="2:6" ht="21" x14ac:dyDescent="0.4">
      <c r="B12" s="205" t="s">
        <v>195</v>
      </c>
      <c r="D12" s="206" t="s">
        <v>34</v>
      </c>
    </row>
    <row r="13" spans="2:6" ht="21" x14ac:dyDescent="0.4">
      <c r="B13" s="205" t="s">
        <v>196</v>
      </c>
      <c r="D13" s="206" t="s">
        <v>197</v>
      </c>
      <c r="F13" s="173" t="s">
        <v>201</v>
      </c>
    </row>
    <row r="14" spans="2:6" ht="21" x14ac:dyDescent="0.4">
      <c r="D14" s="206" t="s">
        <v>212</v>
      </c>
    </row>
  </sheetData>
  <hyperlinks>
    <hyperlink ref="B6" location="Supuestos!A1" display="Supuestos" xr:uid="{36B7836E-68C3-4023-B7A0-7B4A6A427580}"/>
    <hyperlink ref="B10" location="ER!A1" display="Estado de Resultados" xr:uid="{3296CF96-43A6-4D48-A5D8-6A245E2F62BA}"/>
    <hyperlink ref="B11" location="ESF!A1" display="Estado de Situación Financiera" xr:uid="{E94D56FE-AC60-4C94-8C56-823D5D2A0A78}"/>
    <hyperlink ref="B12" location="'Cambios Patrimonio'!A1" display="Estado de Cambios de Patrimonio" xr:uid="{AB0F6F19-9774-48F1-9858-DF1EC8715995}"/>
    <hyperlink ref="B13" location="'Flujo de Efectivo'!A1" display="Estado de Flujos de Efectivo" xr:uid="{498F079E-6709-4F35-AF92-16F5744B77BB}"/>
    <hyperlink ref="D6" location="Ventas!A1" display="Ventas" xr:uid="{CDC20540-C4CB-4B37-AABE-815B32ADAAE7}"/>
    <hyperlink ref="D7" location="'Costo de Ventas'!A1" display="Costo de Ventas" xr:uid="{8C6F4D0C-8312-4E05-8571-334A791CC27E}"/>
    <hyperlink ref="D8" location="'Gasto de Personal'!A1" display="Gasto de Personal" xr:uid="{AD4AF66D-CBA3-4405-B0D1-B7B6BAA44706}"/>
    <hyperlink ref="D9" location="'Gasto de Ventas'!A1" display="Gasto de Ventas" xr:uid="{603E91E7-1CD5-4250-A94E-9F396D7276B9}"/>
    <hyperlink ref="D10" location="'Gasto de Administración'!A1" display="Gasto de Administración" xr:uid="{39424DDD-8D8B-434E-B64F-E2958EBA45EC}"/>
    <hyperlink ref="D13" location="'Otros Gastos Op'!A1" display="Otros Gastos" xr:uid="{83F3EA2B-0629-4D3E-ACD9-11DF5DEF8856}"/>
    <hyperlink ref="D11" location="'Ing Financieros'!A1" display="Ingresos Financieros" xr:uid="{4D6D567A-F6E1-40D9-8DF2-ECAE91AF8823}"/>
    <hyperlink ref="D12" location="'Gasto Financiero'!A1" display="Gastos Financieros" xr:uid="{2E921AE8-8BCC-4CCB-A7FE-9A7A3B03C18C}"/>
    <hyperlink ref="F7" location="'Fondo Maniobra'!A1" display="Fondo de Maniobra" xr:uid="{44ED0CCD-F884-46C9-BE01-BF1037A7094F}"/>
    <hyperlink ref="F8" location="Otros!A1" display="Otras cuentas del activo" xr:uid="{624AB43B-D03B-475E-B315-91CF40FB1823}"/>
    <hyperlink ref="F6" location="IME!A1" display="IME" xr:uid="{DC5C9EF1-D036-480B-A802-9F3EA50D1991}"/>
    <hyperlink ref="F9" location="'Pasivo Arrendamiento'!A1" display="Pasivo por Arrendamiento" xr:uid="{92DFF74A-A767-4896-8962-3E4E6AAF3C22}"/>
    <hyperlink ref="F13" location="'Fuentes Usos'!A1" display="Fuentes Usos" xr:uid="{E27B5110-D9B9-4D7F-92DF-8C6DA0636D79}"/>
    <hyperlink ref="D14" location="'IR PT'!A1" display="IR + PT" xr:uid="{567B02CF-F398-44C2-84BC-F05AAF6594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5B71-8EA0-4697-9029-1A66175CDE79}">
  <dimension ref="B1:N55"/>
  <sheetViews>
    <sheetView showGridLines="0" zoomScaleNormal="100" workbookViewId="0">
      <pane ySplit="3" topLeftCell="A4" activePane="bottomLeft" state="frozen"/>
      <selection pane="bottomLeft" activeCell="K48" sqref="K48"/>
    </sheetView>
  </sheetViews>
  <sheetFormatPr baseColWidth="10" defaultRowHeight="15" x14ac:dyDescent="0.35"/>
  <cols>
    <col min="1" max="1" width="4.109375" customWidth="1"/>
    <col min="2" max="2" width="32.21875" customWidth="1"/>
    <col min="3" max="3" width="14.33203125" customWidth="1"/>
    <col min="4" max="4" width="14.33203125" style="90" customWidth="1"/>
    <col min="5" max="5" width="4.109375" customWidth="1"/>
    <col min="6" max="6" width="32.77734375" customWidth="1"/>
    <col min="7" max="9" width="14.33203125" customWidth="1"/>
    <col min="10" max="10" width="4.109375" customWidth="1"/>
    <col min="11" max="11" width="16.5546875" bestFit="1" customWidth="1"/>
    <col min="12" max="14" width="12.5546875" customWidth="1"/>
  </cols>
  <sheetData>
    <row r="1" spans="2:14" ht="15.6" thickBot="1" x14ac:dyDescent="0.4"/>
    <row r="2" spans="2:14" ht="15.6" thickBot="1" x14ac:dyDescent="0.4">
      <c r="B2" s="26" t="s">
        <v>63</v>
      </c>
      <c r="C2" s="28"/>
      <c r="F2" s="26" t="s">
        <v>64</v>
      </c>
      <c r="G2" s="27"/>
      <c r="H2" s="27"/>
      <c r="I2" s="28"/>
    </row>
    <row r="4" spans="2:14" x14ac:dyDescent="0.35">
      <c r="B4" s="83" t="s">
        <v>174</v>
      </c>
      <c r="C4" s="84"/>
      <c r="D4" s="236" t="s">
        <v>237</v>
      </c>
      <c r="F4" s="83" t="s">
        <v>177</v>
      </c>
      <c r="G4" s="84"/>
      <c r="H4" s="236" t="s">
        <v>237</v>
      </c>
      <c r="I4" s="84"/>
      <c r="K4" s="83" t="s">
        <v>213</v>
      </c>
      <c r="L4" s="84"/>
      <c r="M4" s="84"/>
      <c r="N4" s="84"/>
    </row>
    <row r="5" spans="2:14" x14ac:dyDescent="0.35">
      <c r="B5" s="85" t="s">
        <v>166</v>
      </c>
      <c r="C5" s="239">
        <f>L13</f>
        <v>1.0800000000000001E-2</v>
      </c>
      <c r="D5" s="239">
        <f>L19</f>
        <v>1.0847322082219835E-2</v>
      </c>
      <c r="F5" s="85" t="s">
        <v>235</v>
      </c>
      <c r="G5" s="213">
        <v>48</v>
      </c>
      <c r="H5" s="237">
        <f>+AVERAGE('Fondo Maniobra'!D23:G23)</f>
        <v>47.94133191313442</v>
      </c>
    </row>
    <row r="6" spans="2:14" x14ac:dyDescent="0.35">
      <c r="B6" s="85" t="s">
        <v>167</v>
      </c>
      <c r="C6" s="239">
        <f>M13</f>
        <v>-7.6100000000000001E-2</v>
      </c>
      <c r="D6" s="239">
        <f>M19</f>
        <v>-7.6101831564549416E-2</v>
      </c>
      <c r="F6" s="85" t="s">
        <v>234</v>
      </c>
      <c r="G6" s="213">
        <v>23</v>
      </c>
      <c r="H6" s="237">
        <f>+AVERAGE('Fondo Maniobra'!D13:G13)</f>
        <v>23.398754710238244</v>
      </c>
      <c r="K6" t="s">
        <v>217</v>
      </c>
      <c r="L6">
        <v>2</v>
      </c>
    </row>
    <row r="7" spans="2:14" x14ac:dyDescent="0.35">
      <c r="B7" s="85" t="s">
        <v>168</v>
      </c>
      <c r="C7" s="239">
        <f>N13</f>
        <v>0.13150000000000001</v>
      </c>
      <c r="D7" s="239">
        <f>N19</f>
        <v>0.13154212638395246</v>
      </c>
      <c r="F7" s="85" t="s">
        <v>236</v>
      </c>
      <c r="G7" s="213">
        <v>107</v>
      </c>
      <c r="H7" s="237">
        <f>+AVERAGE('Fondo Maniobra'!B40:G40)</f>
        <v>107.15173548124601</v>
      </c>
    </row>
    <row r="8" spans="2:14" x14ac:dyDescent="0.35">
      <c r="G8" s="92">
        <f>+G5+G6-G7</f>
        <v>-36</v>
      </c>
      <c r="L8" s="22" t="s">
        <v>221</v>
      </c>
    </row>
    <row r="9" spans="2:14" x14ac:dyDescent="0.35">
      <c r="B9" s="83" t="s">
        <v>175</v>
      </c>
      <c r="C9" s="84"/>
      <c r="D9" s="236" t="s">
        <v>237</v>
      </c>
      <c r="L9" s="207" t="s">
        <v>218</v>
      </c>
      <c r="M9" s="207" t="s">
        <v>219</v>
      </c>
      <c r="N9" s="207" t="s">
        <v>220</v>
      </c>
    </row>
    <row r="10" spans="2:14" x14ac:dyDescent="0.35">
      <c r="B10" s="85" t="s">
        <v>162</v>
      </c>
      <c r="C10" s="93">
        <v>0.85129999999999995</v>
      </c>
      <c r="D10" s="239">
        <f>+AVERAGE('Costo de Ventas'!C15:H15)/AVERAGE('Costo de Ventas'!C5:H5)</f>
        <v>0.8513453881718166</v>
      </c>
      <c r="F10" s="85" t="s">
        <v>67</v>
      </c>
      <c r="G10" s="93">
        <v>0.83740000000000003</v>
      </c>
      <c r="H10" s="239">
        <f>+AVERAGE('Fondo Maniobra'!B43:G43)/AVERAGE('Fondo Maniobra'!B37:G37)</f>
        <v>0.83736438667824187</v>
      </c>
      <c r="K10" s="242" t="s">
        <v>214</v>
      </c>
      <c r="L10" s="243">
        <v>0.05</v>
      </c>
      <c r="M10" s="243">
        <v>0.25</v>
      </c>
      <c r="N10" s="243">
        <v>0.53</v>
      </c>
    </row>
    <row r="11" spans="2:14" x14ac:dyDescent="0.35">
      <c r="F11" s="29"/>
      <c r="G11" s="38"/>
      <c r="K11" s="242" t="s">
        <v>215</v>
      </c>
      <c r="L11" s="244">
        <v>1.0800000000000001E-2</v>
      </c>
      <c r="M11" s="244">
        <v>-7.6100000000000001E-2</v>
      </c>
      <c r="N11" s="244">
        <v>0.13150000000000001</v>
      </c>
    </row>
    <row r="12" spans="2:14" x14ac:dyDescent="0.35">
      <c r="B12" s="83" t="s">
        <v>176</v>
      </c>
      <c r="C12" s="84"/>
      <c r="D12" s="236" t="s">
        <v>237</v>
      </c>
      <c r="F12" s="83" t="s">
        <v>101</v>
      </c>
      <c r="G12" s="84"/>
      <c r="H12" s="84"/>
      <c r="I12" s="84"/>
      <c r="K12" s="242" t="s">
        <v>216</v>
      </c>
      <c r="L12" s="243">
        <v>0</v>
      </c>
      <c r="M12" s="243">
        <v>0</v>
      </c>
      <c r="N12" s="243">
        <v>0</v>
      </c>
    </row>
    <row r="13" spans="2:14" x14ac:dyDescent="0.35">
      <c r="K13" s="242" t="s">
        <v>217</v>
      </c>
      <c r="L13" s="245">
        <f>CHOOSE($L$6,L10,L11,L12)</f>
        <v>1.0800000000000001E-2</v>
      </c>
      <c r="M13" s="245">
        <f t="shared" ref="M13:N13" si="0">CHOOSE($L$6,M10,M11,M12)</f>
        <v>-7.6100000000000001E-2</v>
      </c>
      <c r="N13" s="245">
        <f t="shared" si="0"/>
        <v>0.13150000000000001</v>
      </c>
    </row>
    <row r="14" spans="2:14" x14ac:dyDescent="0.35">
      <c r="B14" s="85" t="s">
        <v>129</v>
      </c>
      <c r="C14" s="93">
        <v>1.4E-2</v>
      </c>
      <c r="D14" s="239">
        <f>+'Gasto de Personal'!G17</f>
        <v>1.396130458817026E-2</v>
      </c>
      <c r="G14" s="241">
        <v>2025</v>
      </c>
      <c r="H14" s="241">
        <v>2026</v>
      </c>
      <c r="I14" s="241">
        <v>2027</v>
      </c>
    </row>
    <row r="15" spans="2:14" x14ac:dyDescent="0.35">
      <c r="C15" s="38"/>
      <c r="D15" s="136"/>
      <c r="F15" s="85" t="s">
        <v>204</v>
      </c>
      <c r="G15" s="140">
        <v>56056</v>
      </c>
      <c r="H15" s="140"/>
      <c r="I15" s="140"/>
      <c r="L15" s="207" t="s">
        <v>218</v>
      </c>
      <c r="M15" s="207" t="s">
        <v>219</v>
      </c>
      <c r="N15" s="207" t="s">
        <v>220</v>
      </c>
    </row>
    <row r="16" spans="2:14" x14ac:dyDescent="0.35">
      <c r="B16" s="85" t="s">
        <v>139</v>
      </c>
      <c r="C16" s="93">
        <v>0.21779999999999999</v>
      </c>
      <c r="D16" s="239">
        <f>+'Gasto de Personal'!G33</f>
        <v>0.21777003484320556</v>
      </c>
      <c r="K16" s="242" t="s">
        <v>214</v>
      </c>
      <c r="L16" s="246">
        <f>Ventas!N5</f>
        <v>5.0610046899345118E-2</v>
      </c>
      <c r="M16" s="246">
        <f>Ventas!N6</f>
        <v>0.25420357241419089</v>
      </c>
      <c r="N16" s="246">
        <f>Ventas!N7</f>
        <v>0.53781354979581786</v>
      </c>
    </row>
    <row r="17" spans="2:14" x14ac:dyDescent="0.35">
      <c r="B17" s="85" t="s">
        <v>140</v>
      </c>
      <c r="C17" s="93">
        <v>0.1205</v>
      </c>
      <c r="D17" s="239">
        <f>+'Gasto de Personal'!G34</f>
        <v>0.12052581564776686</v>
      </c>
      <c r="F17" s="83" t="s">
        <v>238</v>
      </c>
      <c r="G17" s="84"/>
      <c r="H17" s="236" t="s">
        <v>237</v>
      </c>
      <c r="I17" s="84"/>
      <c r="K17" s="242" t="s">
        <v>215</v>
      </c>
      <c r="L17" s="247">
        <f>Ventas!O5</f>
        <v>1.0847322082219835E-2</v>
      </c>
      <c r="M17" s="247">
        <f>Ventas!O6</f>
        <v>-7.6101831564549416E-2</v>
      </c>
      <c r="N17" s="247">
        <f>Ventas!O7</f>
        <v>0.13154212638395246</v>
      </c>
    </row>
    <row r="18" spans="2:14" x14ac:dyDescent="0.35">
      <c r="B18" s="85" t="s">
        <v>141</v>
      </c>
      <c r="C18" s="93">
        <v>9.3899999999999997E-2</v>
      </c>
      <c r="D18" s="239">
        <f>+'Gasto de Personal'!G35</f>
        <v>9.3918276845106119E-2</v>
      </c>
      <c r="F18" s="85" t="s">
        <v>6</v>
      </c>
      <c r="G18" s="93">
        <v>2.6599999999999999E-2</v>
      </c>
      <c r="H18" s="239">
        <f>+AVERAGE(Otros!B13:G13)/AVERAGE(Otros!B12:G12)</f>
        <v>2.6579815667278437E-2</v>
      </c>
      <c r="K18" s="242" t="s">
        <v>216</v>
      </c>
      <c r="L18" s="246">
        <v>0</v>
      </c>
      <c r="M18" s="246">
        <v>0</v>
      </c>
      <c r="N18" s="246">
        <v>0</v>
      </c>
    </row>
    <row r="19" spans="2:14" x14ac:dyDescent="0.35">
      <c r="B19" s="85" t="s">
        <v>142</v>
      </c>
      <c r="C19" s="93">
        <v>0.1082</v>
      </c>
      <c r="D19" s="239">
        <f>+'Gasto de Personal'!G36</f>
        <v>0.10817231548938866</v>
      </c>
      <c r="K19" s="242" t="s">
        <v>217</v>
      </c>
      <c r="L19" s="245">
        <f>CHOOSE($L$6,L16,L17,L18)</f>
        <v>1.0847322082219835E-2</v>
      </c>
      <c r="M19" s="245">
        <f t="shared" ref="M19:N19" si="1">CHOOSE($L$6,M16,M17,M18)</f>
        <v>-7.6101831564549416E-2</v>
      </c>
      <c r="N19" s="245">
        <f t="shared" si="1"/>
        <v>0.13154212638395246</v>
      </c>
    </row>
    <row r="20" spans="2:14" x14ac:dyDescent="0.35">
      <c r="B20" s="85" t="s">
        <v>143</v>
      </c>
      <c r="C20" s="93">
        <v>0.44869999999999999</v>
      </c>
      <c r="D20" s="239">
        <f>+'Gasto de Personal'!G37</f>
        <v>0.44868546088058281</v>
      </c>
      <c r="F20" s="83" t="s">
        <v>165</v>
      </c>
      <c r="G20" s="84"/>
      <c r="H20" s="236" t="s">
        <v>237</v>
      </c>
      <c r="I20" s="84"/>
    </row>
    <row r="21" spans="2:14" x14ac:dyDescent="0.35">
      <c r="C21" s="38"/>
      <c r="D21" s="136"/>
      <c r="F21" s="85" t="s">
        <v>239</v>
      </c>
      <c r="G21" s="93">
        <v>8.2000000000000007E-3</v>
      </c>
      <c r="H21" s="239">
        <f>+AVERAGE(IME!B11:G11)/AVERAGE(IME!B5:G5)</f>
        <v>8.233294220296658E-3</v>
      </c>
      <c r="I21" t="s">
        <v>59</v>
      </c>
      <c r="K21" s="209" t="s">
        <v>222</v>
      </c>
      <c r="L21" s="210"/>
      <c r="M21" s="210"/>
      <c r="N21" s="210"/>
    </row>
    <row r="22" spans="2:14" x14ac:dyDescent="0.35">
      <c r="B22" s="22" t="s">
        <v>157</v>
      </c>
      <c r="C22" s="240"/>
      <c r="D22" s="236" t="s">
        <v>237</v>
      </c>
      <c r="H22" s="23"/>
    </row>
    <row r="23" spans="2:14" x14ac:dyDescent="0.35">
      <c r="B23" s="85" t="s">
        <v>29</v>
      </c>
      <c r="C23" s="93">
        <v>0.64180000000000004</v>
      </c>
      <c r="D23" s="239">
        <f>+'Gasto de Personal'!G26</f>
        <v>0.64177777777777778</v>
      </c>
      <c r="G23" s="241">
        <v>2025</v>
      </c>
      <c r="H23" s="241">
        <v>2026</v>
      </c>
      <c r="I23" s="241">
        <v>2027</v>
      </c>
      <c r="L23" s="13">
        <v>2025</v>
      </c>
      <c r="M23" s="13">
        <v>2026</v>
      </c>
      <c r="N23" s="13">
        <v>2027</v>
      </c>
    </row>
    <row r="24" spans="2:14" x14ac:dyDescent="0.35">
      <c r="B24" s="85" t="s">
        <v>144</v>
      </c>
      <c r="C24" s="93">
        <v>0.193</v>
      </c>
      <c r="D24" s="239">
        <f>+'Gasto de Personal'!G27</f>
        <v>0.19301587301587303</v>
      </c>
      <c r="F24" s="85" t="s">
        <v>208</v>
      </c>
      <c r="G24" s="140">
        <v>0</v>
      </c>
      <c r="H24" s="140">
        <v>0</v>
      </c>
      <c r="I24" s="140">
        <v>0</v>
      </c>
      <c r="K24" s="248" t="s">
        <v>59</v>
      </c>
      <c r="L24" s="249">
        <f>ER!H6</f>
        <v>470950.01569999999</v>
      </c>
      <c r="M24" s="249">
        <f>ER!I6</f>
        <v>493161.3159470699</v>
      </c>
      <c r="N24" s="249">
        <f>ER!J6</f>
        <v>519243.41512419953</v>
      </c>
    </row>
    <row r="25" spans="2:14" x14ac:dyDescent="0.35">
      <c r="B25" s="85" t="s">
        <v>145</v>
      </c>
      <c r="C25" s="93">
        <v>0.16520000000000001</v>
      </c>
      <c r="D25" s="239">
        <f>+'Gasto de Personal'!G28</f>
        <v>0.16520634920634922</v>
      </c>
      <c r="K25" s="248" t="s">
        <v>244</v>
      </c>
      <c r="L25" s="249">
        <f>ER!H13+IME!H14</f>
        <v>36319.029522614343</v>
      </c>
      <c r="M25" s="249">
        <f>ER!I13+IME!I14</f>
        <v>38192.496533100973</v>
      </c>
      <c r="N25" s="249">
        <f>ER!J13+IME!J14</f>
        <v>40350.102690412139</v>
      </c>
    </row>
    <row r="26" spans="2:14" x14ac:dyDescent="0.35">
      <c r="C26" s="133">
        <f>+SUM(C23:C25)</f>
        <v>1</v>
      </c>
      <c r="F26" s="83" t="s">
        <v>256</v>
      </c>
      <c r="G26" s="84"/>
      <c r="H26" s="236" t="s">
        <v>237</v>
      </c>
      <c r="I26" s="84"/>
      <c r="K26" s="248" t="s">
        <v>245</v>
      </c>
      <c r="L26" s="249">
        <f>ER!H13*(1-'IR PT'!H24)</f>
        <v>21899.611700167865</v>
      </c>
      <c r="M26" s="249">
        <f>ER!I13*(1-'IR PT'!I24)</f>
        <v>22958.44305847714</v>
      </c>
      <c r="N26" s="249">
        <f>ER!J13*(1-'IR PT'!J24)</f>
        <v>24197.626342661672</v>
      </c>
    </row>
    <row r="27" spans="2:14" x14ac:dyDescent="0.35">
      <c r="F27" s="85" t="s">
        <v>256</v>
      </c>
      <c r="G27" s="93">
        <v>2.29E-2</v>
      </c>
      <c r="H27" s="239">
        <f>+AVERAGE(IME!B34:G34)/AVERAGE(IME!B5:G5)</f>
        <v>2.2903691668923188E-2</v>
      </c>
      <c r="I27" t="s">
        <v>59</v>
      </c>
    </row>
    <row r="28" spans="2:14" x14ac:dyDescent="0.35">
      <c r="B28" s="83" t="s">
        <v>149</v>
      </c>
      <c r="C28" s="84"/>
      <c r="D28" s="236" t="s">
        <v>237</v>
      </c>
      <c r="F28" s="85" t="s">
        <v>257</v>
      </c>
      <c r="G28" s="129">
        <v>2799</v>
      </c>
      <c r="H28" s="237">
        <f>IME!G33</f>
        <v>2799</v>
      </c>
      <c r="I28" t="s">
        <v>59</v>
      </c>
      <c r="K28" s="248" t="s">
        <v>240</v>
      </c>
      <c r="L28" s="249">
        <f>ER!H19</f>
        <v>25323.44219505506</v>
      </c>
      <c r="M28" s="249">
        <f>ER!I19</f>
        <v>26497.790455834183</v>
      </c>
      <c r="N28" s="249">
        <f>ER!J19</f>
        <v>27939.589523856379</v>
      </c>
    </row>
    <row r="29" spans="2:14" x14ac:dyDescent="0.35">
      <c r="B29" s="85" t="s">
        <v>128</v>
      </c>
      <c r="C29" s="214">
        <v>1.11E-2</v>
      </c>
      <c r="D29" s="239">
        <f>+AVERAGE('Gasto de Ventas'!B8:G8)/AVERAGE('Gasto de Ventas'!B5:G5)</f>
        <v>1.1059963293919428E-2</v>
      </c>
      <c r="F29" s="85" t="s">
        <v>258</v>
      </c>
      <c r="G29" s="93">
        <v>0.7</v>
      </c>
      <c r="H29" s="239">
        <f>IME!G37</f>
        <v>0.69524830296534479</v>
      </c>
    </row>
    <row r="30" spans="2:14" x14ac:dyDescent="0.35">
      <c r="B30" s="85" t="s">
        <v>130</v>
      </c>
      <c r="C30" s="93">
        <v>2.0999999999999999E-3</v>
      </c>
      <c r="D30" s="239">
        <f>+AVERAGE('Gasto de Ventas'!B10:G10)/AVERAGE('Gasto de Ventas'!B5:G5)</f>
        <v>2.1436952793573425E-3</v>
      </c>
      <c r="F30" s="85" t="s">
        <v>259</v>
      </c>
      <c r="G30" s="93">
        <v>0.3</v>
      </c>
      <c r="H30" s="239">
        <f>IME!G38</f>
        <v>0.30475169703465521</v>
      </c>
      <c r="K30" s="248" t="s">
        <v>241</v>
      </c>
      <c r="L30" s="249">
        <f>ESF!H24</f>
        <v>226045.43653296871</v>
      </c>
      <c r="M30" s="249">
        <f>ESF!I24</f>
        <v>248614.32092344441</v>
      </c>
      <c r="N30" s="249">
        <f>ESF!J24</f>
        <v>253578.87653310352</v>
      </c>
    </row>
    <row r="31" spans="2:14" x14ac:dyDescent="0.35">
      <c r="K31" s="248" t="s">
        <v>22</v>
      </c>
      <c r="L31" s="249">
        <f>ESF!H40</f>
        <v>139323.46322917531</v>
      </c>
      <c r="M31" s="249">
        <f>ESF!I40</f>
        <v>157355.92589361218</v>
      </c>
      <c r="N31" s="249">
        <f>ESF!J40</f>
        <v>157537.22377678705</v>
      </c>
    </row>
    <row r="32" spans="2:14" x14ac:dyDescent="0.35">
      <c r="B32" s="83" t="s">
        <v>150</v>
      </c>
      <c r="C32" s="84"/>
      <c r="D32" s="236" t="s">
        <v>237</v>
      </c>
      <c r="F32" s="83" t="s">
        <v>179</v>
      </c>
      <c r="G32" s="84"/>
      <c r="H32" s="84"/>
      <c r="I32" s="84"/>
      <c r="K32" s="248" t="s">
        <v>27</v>
      </c>
      <c r="L32" s="249">
        <f>ESF!H48</f>
        <v>86721.973303793435</v>
      </c>
      <c r="M32" s="249">
        <f>ESF!I48</f>
        <v>91258.395029832245</v>
      </c>
      <c r="N32" s="249">
        <f>ESF!J48</f>
        <v>96041.652756316456</v>
      </c>
    </row>
    <row r="33" spans="2:14" x14ac:dyDescent="0.35">
      <c r="B33" s="85" t="s">
        <v>128</v>
      </c>
      <c r="C33" s="93">
        <v>1.9300000000000001E-2</v>
      </c>
      <c r="D33" s="239">
        <f>+AVERAGE('Gasto de Administración'!B9:G9)/AVERAGE('Gasto de Administración'!$B$5:$G$5)</f>
        <v>1.9291251717463469E-2</v>
      </c>
    </row>
    <row r="34" spans="2:14" x14ac:dyDescent="0.35">
      <c r="B34" s="85" t="s">
        <v>130</v>
      </c>
      <c r="C34" s="93">
        <v>3.2000000000000002E-3</v>
      </c>
      <c r="D34" s="239">
        <f>+AVERAGE('Gasto de Administración'!B12:G12)/AVERAGE('Gasto de Administración'!$B$5:$G$5)</f>
        <v>3.173170462637021E-3</v>
      </c>
      <c r="G34" s="241">
        <v>2025</v>
      </c>
      <c r="H34" s="241">
        <v>2026</v>
      </c>
      <c r="I34" s="241">
        <v>2027</v>
      </c>
      <c r="K34" s="248" t="s">
        <v>242</v>
      </c>
      <c r="L34" s="249">
        <f>ESF!H15</f>
        <v>172034.85174469871</v>
      </c>
      <c r="M34" s="249">
        <f>ESF!I15</f>
        <v>191900.47303673701</v>
      </c>
      <c r="N34" s="249">
        <f>ESF!J15</f>
        <v>194055.23099123212</v>
      </c>
    </row>
    <row r="35" spans="2:14" x14ac:dyDescent="0.35">
      <c r="B35" s="85" t="s">
        <v>136</v>
      </c>
      <c r="C35" s="129">
        <v>148</v>
      </c>
      <c r="D35" s="237">
        <f>+AVERAGE('Gasto de Administración'!B16:G16)</f>
        <v>148</v>
      </c>
      <c r="F35" s="85" t="s">
        <v>78</v>
      </c>
      <c r="G35" s="140">
        <v>0</v>
      </c>
      <c r="H35" s="140">
        <v>0</v>
      </c>
      <c r="I35" s="140">
        <v>0</v>
      </c>
      <c r="K35" s="248" t="s">
        <v>243</v>
      </c>
      <c r="L35" s="249">
        <f>ESF!H34</f>
        <v>131630.13680070388</v>
      </c>
      <c r="M35" s="249">
        <f>ESF!I34</f>
        <v>149299.76099501667</v>
      </c>
      <c r="N35" s="249">
        <f>ESF!J34</f>
        <v>149054.98796573776</v>
      </c>
    </row>
    <row r="36" spans="2:14" x14ac:dyDescent="0.35">
      <c r="K36" s="37"/>
    </row>
    <row r="37" spans="2:14" x14ac:dyDescent="0.35">
      <c r="B37" s="83" t="s">
        <v>154</v>
      </c>
      <c r="C37" s="84"/>
      <c r="D37" s="236" t="s">
        <v>237</v>
      </c>
      <c r="F37" s="83" t="s">
        <v>181</v>
      </c>
      <c r="G37" s="84"/>
      <c r="H37" s="236" t="s">
        <v>237</v>
      </c>
      <c r="I37" s="84"/>
      <c r="K37" s="248" t="s">
        <v>250</v>
      </c>
      <c r="L37" s="249">
        <f>+ESF!H8</f>
        <v>63953.698799461185</v>
      </c>
      <c r="M37" s="249">
        <f>+ESF!I8</f>
        <v>82164.158082008173</v>
      </c>
      <c r="N37" s="249">
        <f>+ESF!J8</f>
        <v>75270.962418782467</v>
      </c>
    </row>
    <row r="38" spans="2:14" x14ac:dyDescent="0.35">
      <c r="B38" s="85" t="s">
        <v>79</v>
      </c>
      <c r="C38" s="93">
        <v>8.9300000000000004E-2</v>
      </c>
      <c r="D38" s="239">
        <f>+AVERAGE(IME!B14:G14)/AVERAGE(IME!B8:G8)</f>
        <v>8.9267430942010922E-2</v>
      </c>
      <c r="F38" s="85" t="s">
        <v>182</v>
      </c>
      <c r="G38" s="93">
        <v>2.4799999999999999E-2</v>
      </c>
      <c r="H38" s="239">
        <f>+AVERAGE('Pasivo Arrendamiento'!B11:G11)/AVERAGE('Pasivo Arrendamiento'!B5:G5)</f>
        <v>2.4785129022876114E-2</v>
      </c>
      <c r="I38" s="142"/>
      <c r="K38" s="248" t="s">
        <v>173</v>
      </c>
      <c r="L38" s="249">
        <f>+'Cambios Patrimonio'!H22</f>
        <v>20988.068891261635</v>
      </c>
      <c r="M38" s="249">
        <f>+'Cambios Patrimonio'!I22</f>
        <v>21961.368729795369</v>
      </c>
      <c r="N38" s="249">
        <f>+'Cambios Patrimonio'!J22</f>
        <v>23156.331797372168</v>
      </c>
    </row>
    <row r="39" spans="2:14" x14ac:dyDescent="0.35">
      <c r="B39" s="29"/>
      <c r="C39" s="86"/>
      <c r="F39" s="85" t="s">
        <v>183</v>
      </c>
      <c r="G39" s="93">
        <v>0.34129999999999999</v>
      </c>
      <c r="H39" s="239">
        <f>+AVERAGE('Pasivo Arrendamiento'!B9:G9)/AVERAGE('Pasivo Arrendamiento'!B11:G11)</f>
        <v>0.34125073340481921</v>
      </c>
      <c r="I39" s="142"/>
    </row>
    <row r="40" spans="2:14" x14ac:dyDescent="0.35">
      <c r="B40" s="22" t="s">
        <v>158</v>
      </c>
      <c r="I40" s="142"/>
      <c r="K40" s="248" t="s">
        <v>247</v>
      </c>
      <c r="L40" s="251">
        <f>L26/L30</f>
        <v>9.6881459037877135E-2</v>
      </c>
      <c r="M40" s="251">
        <f t="shared" ref="M40:N40" si="2">M26/M30</f>
        <v>9.2345617795471693E-2</v>
      </c>
      <c r="N40" s="251">
        <f t="shared" si="2"/>
        <v>9.5424455985799697E-2</v>
      </c>
    </row>
    <row r="41" spans="2:14" x14ac:dyDescent="0.35">
      <c r="B41" s="85" t="s">
        <v>29</v>
      </c>
      <c r="C41" s="93">
        <v>0.89639999999999997</v>
      </c>
      <c r="D41" s="239">
        <f>+IME!G26</f>
        <v>0.89640965273690409</v>
      </c>
      <c r="K41" s="248" t="s">
        <v>248</v>
      </c>
      <c r="L41" s="251">
        <f>L28/L32</f>
        <v>0.29200721835912546</v>
      </c>
      <c r="M41" s="251">
        <f t="shared" ref="M41:N41" si="3">M28/M32</f>
        <v>0.29036003150364514</v>
      </c>
      <c r="N41" s="251">
        <f t="shared" si="3"/>
        <v>0.29091116949795359</v>
      </c>
    </row>
    <row r="42" spans="2:14" x14ac:dyDescent="0.35">
      <c r="B42" s="85" t="s">
        <v>144</v>
      </c>
      <c r="C42" s="93">
        <v>3.09E-2</v>
      </c>
      <c r="D42" s="239">
        <f>+IME!G27</f>
        <v>3.0900529723366685E-2</v>
      </c>
      <c r="F42" s="83" t="s">
        <v>205</v>
      </c>
      <c r="G42" s="84"/>
      <c r="H42" s="236" t="s">
        <v>237</v>
      </c>
      <c r="I42" s="84"/>
      <c r="K42" s="248" t="s">
        <v>249</v>
      </c>
      <c r="L42" s="251">
        <f>L28/L24</f>
        <v>5.3770976432425378E-2</v>
      </c>
      <c r="M42" s="251">
        <f t="shared" ref="M42:N42" si="4">M28/M24</f>
        <v>5.3730472360646681E-2</v>
      </c>
      <c r="N42" s="251">
        <f t="shared" si="4"/>
        <v>5.3808269320417705E-2</v>
      </c>
    </row>
    <row r="43" spans="2:14" x14ac:dyDescent="0.35">
      <c r="B43" s="85" t="s">
        <v>145</v>
      </c>
      <c r="C43" s="93">
        <v>7.2700000000000001E-2</v>
      </c>
      <c r="D43" s="239">
        <f>+IME!G28</f>
        <v>7.2689817539729251E-2</v>
      </c>
      <c r="F43" s="85" t="s">
        <v>70</v>
      </c>
      <c r="G43" s="129">
        <v>6739</v>
      </c>
      <c r="H43" s="237">
        <f>+ESF!G32</f>
        <v>6739</v>
      </c>
    </row>
    <row r="44" spans="2:14" x14ac:dyDescent="0.35">
      <c r="B44" s="132"/>
      <c r="C44" s="133">
        <f>+SUM(C41:C43)</f>
        <v>1</v>
      </c>
      <c r="D44" s="135"/>
      <c r="I44" s="31"/>
      <c r="K44" s="248" t="s">
        <v>251</v>
      </c>
      <c r="L44" s="249">
        <f>'Flujo de Efectivo'!C38</f>
        <v>12536.522967643727</v>
      </c>
      <c r="M44" s="249">
        <f>'Flujo de Efectivo'!D38</f>
        <v>46134.384023153281</v>
      </c>
      <c r="N44" s="249">
        <f>'Flujo de Efectivo'!E38</f>
        <v>22451.114899761782</v>
      </c>
    </row>
    <row r="45" spans="2:14" x14ac:dyDescent="0.35">
      <c r="C45" s="80"/>
      <c r="F45" s="83" t="s">
        <v>103</v>
      </c>
      <c r="G45" s="84"/>
      <c r="H45" s="84"/>
      <c r="I45" s="84"/>
    </row>
    <row r="46" spans="2:14" x14ac:dyDescent="0.35">
      <c r="B46" s="83" t="s">
        <v>155</v>
      </c>
      <c r="C46" s="84"/>
      <c r="D46" s="236" t="s">
        <v>237</v>
      </c>
    </row>
    <row r="47" spans="2:14" x14ac:dyDescent="0.35">
      <c r="B47" s="85" t="s">
        <v>44</v>
      </c>
      <c r="C47" s="129">
        <v>2169</v>
      </c>
      <c r="D47" s="237">
        <f>+AVERAGE(ER!B11:G11)</f>
        <v>2168.5</v>
      </c>
      <c r="F47" s="85" t="s">
        <v>94</v>
      </c>
      <c r="G47" s="93">
        <v>0.1</v>
      </c>
    </row>
    <row r="48" spans="2:14" x14ac:dyDescent="0.35">
      <c r="B48" s="85" t="s">
        <v>45</v>
      </c>
      <c r="C48" s="89">
        <v>9.0000000000000006E-5</v>
      </c>
      <c r="D48" s="238">
        <f>+AVERAGE('Otros Gastos Op'!B8:G8)/AVERAGE('Otros Gastos Op'!B5:G5)</f>
        <v>9.1263752243985117E-5</v>
      </c>
      <c r="F48" s="85" t="s">
        <v>95</v>
      </c>
      <c r="G48" s="93">
        <v>0.2</v>
      </c>
    </row>
    <row r="49" spans="2:9" x14ac:dyDescent="0.35">
      <c r="B49" s="85" t="s">
        <v>151</v>
      </c>
      <c r="C49" s="93">
        <v>7.22E-2</v>
      </c>
      <c r="D49" s="239">
        <f>+AVERAGE('Ing Financieros'!B5:G5)/AVERAGE('Ing Financieros'!B11:G11)</f>
        <v>7.2237594186525228E-2</v>
      </c>
    </row>
    <row r="50" spans="2:9" x14ac:dyDescent="0.35">
      <c r="B50" s="85" t="s">
        <v>152</v>
      </c>
      <c r="C50" s="93">
        <v>0.13900000000000001</v>
      </c>
      <c r="D50" s="239">
        <f>+AVERAGE('Gasto Financiero'!B5:G5)/AVERAGE('Gasto Financiero'!B11:G11)</f>
        <v>0.13897262629736781</v>
      </c>
      <c r="H50" s="236" t="s">
        <v>237</v>
      </c>
    </row>
    <row r="51" spans="2:9" x14ac:dyDescent="0.35">
      <c r="B51" s="85" t="s">
        <v>47</v>
      </c>
      <c r="C51" s="129">
        <v>-176</v>
      </c>
      <c r="D51" s="237">
        <f>+AVERAGE(ER!B16:G16)</f>
        <v>-175.66666666666666</v>
      </c>
      <c r="F51" s="85" t="s">
        <v>98</v>
      </c>
      <c r="G51" s="93">
        <v>0.82879999999999998</v>
      </c>
      <c r="H51" s="239">
        <f>+'Cambios Patrimonio'!B31</f>
        <v>0.82875653390267245</v>
      </c>
    </row>
    <row r="53" spans="2:9" x14ac:dyDescent="0.35">
      <c r="B53" s="83" t="s">
        <v>156</v>
      </c>
      <c r="C53" s="84"/>
      <c r="D53" s="236" t="s">
        <v>237</v>
      </c>
      <c r="G53" s="241">
        <v>2025</v>
      </c>
      <c r="H53" s="241">
        <v>2026</v>
      </c>
      <c r="I53" s="241">
        <v>2027</v>
      </c>
    </row>
    <row r="54" spans="2:9" x14ac:dyDescent="0.35">
      <c r="B54" s="85" t="s">
        <v>146</v>
      </c>
      <c r="C54" s="93">
        <v>0.1037</v>
      </c>
      <c r="D54" s="239">
        <f>-AVERAGE('IR PT'!B18:G18)/AVERAGE('IR PT'!B17:G17)</f>
        <v>0.10374861405746294</v>
      </c>
      <c r="F54" s="85" t="s">
        <v>178</v>
      </c>
      <c r="G54" s="140">
        <v>0</v>
      </c>
      <c r="H54" s="140">
        <v>0</v>
      </c>
      <c r="I54" s="140">
        <v>0</v>
      </c>
    </row>
    <row r="55" spans="2:9" x14ac:dyDescent="0.35">
      <c r="B55" s="85" t="s">
        <v>58</v>
      </c>
      <c r="C55" s="93">
        <v>0.29520000000000002</v>
      </c>
      <c r="D55" s="239">
        <f>-AVERAGE('IR PT'!B20:G20)/AVERAGE('IR PT'!B19:G19)</f>
        <v>0.29517387355820457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10</xdr:col>
                    <xdr:colOff>1668780</xdr:colOff>
                    <xdr:row>4</xdr:row>
                    <xdr:rowOff>175260</xdr:rowOff>
                  </from>
                  <to>
                    <xdr:col>12</xdr:col>
                    <xdr:colOff>76200</xdr:colOff>
                    <xdr:row>6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84EF-317C-4544-95E2-F7B026E9D367}">
  <sheetPr>
    <tabColor rgb="FFC00000"/>
  </sheetPr>
  <dimension ref="A1:M22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59.109375" customWidth="1"/>
    <col min="2" max="7" width="12.44140625" customWidth="1"/>
    <col min="8" max="10" width="12.6640625" customWidth="1"/>
  </cols>
  <sheetData>
    <row r="1" spans="1:12" x14ac:dyDescent="0.3">
      <c r="L1" s="23"/>
    </row>
    <row r="2" spans="1:12" x14ac:dyDescent="0.3">
      <c r="H2" s="15"/>
    </row>
    <row r="3" spans="1:12" x14ac:dyDescent="0.3">
      <c r="B3" s="97"/>
      <c r="C3" s="97"/>
      <c r="D3" s="97"/>
      <c r="E3" s="97"/>
      <c r="F3" s="97"/>
      <c r="G3" s="97"/>
      <c r="H3" s="97"/>
      <c r="I3" s="97"/>
      <c r="J3" s="97"/>
    </row>
    <row r="4" spans="1:12" x14ac:dyDescent="0.3">
      <c r="A4" s="1" t="s">
        <v>51</v>
      </c>
      <c r="B4" s="97"/>
      <c r="C4" s="97"/>
      <c r="D4" s="97"/>
      <c r="E4" s="97"/>
      <c r="F4" s="97"/>
      <c r="G4" s="97"/>
      <c r="H4" s="97"/>
      <c r="I4" s="97"/>
      <c r="J4" s="97"/>
    </row>
    <row r="5" spans="1:12" x14ac:dyDescent="0.3">
      <c r="A5" s="7" t="s">
        <v>0</v>
      </c>
      <c r="B5" s="7">
        <v>2019</v>
      </c>
      <c r="C5" s="7">
        <v>2020</v>
      </c>
      <c r="D5" s="7">
        <v>2021</v>
      </c>
      <c r="E5" s="7">
        <v>2022</v>
      </c>
      <c r="F5" s="7">
        <v>2023</v>
      </c>
      <c r="G5" s="7">
        <v>2024</v>
      </c>
      <c r="H5" s="13">
        <v>2025</v>
      </c>
      <c r="I5" s="13">
        <v>2026</v>
      </c>
      <c r="J5" s="13">
        <v>2027</v>
      </c>
    </row>
    <row r="6" spans="1:12" x14ac:dyDescent="0.3">
      <c r="A6" s="2" t="s">
        <v>43</v>
      </c>
      <c r="B6" s="5">
        <v>199619</v>
      </c>
      <c r="C6" s="5">
        <v>187321</v>
      </c>
      <c r="D6" s="5">
        <v>330211</v>
      </c>
      <c r="E6" s="5">
        <v>424158</v>
      </c>
      <c r="F6" s="5">
        <v>400661</v>
      </c>
      <c r="G6" s="5">
        <v>452250</v>
      </c>
      <c r="H6" s="5">
        <f>+Ventas!I8</f>
        <v>470950.01569999999</v>
      </c>
      <c r="I6" s="5">
        <f>+Ventas!J8</f>
        <v>493161.3159470699</v>
      </c>
      <c r="J6" s="5">
        <f>+Ventas!K8</f>
        <v>519243.41512419953</v>
      </c>
      <c r="L6" s="15"/>
    </row>
    <row r="7" spans="1:12" x14ac:dyDescent="0.3">
      <c r="A7" s="8" t="s">
        <v>29</v>
      </c>
      <c r="B7" s="19">
        <v>-166246</v>
      </c>
      <c r="C7" s="19">
        <v>-161990</v>
      </c>
      <c r="D7" s="19">
        <v>-290126</v>
      </c>
      <c r="E7" s="19">
        <v>-373656</v>
      </c>
      <c r="F7" s="19">
        <v>-355059</v>
      </c>
      <c r="G7" s="19">
        <v>-405000</v>
      </c>
      <c r="H7" s="19">
        <f>-'Costo de Ventas'!I8</f>
        <v>-412004.76028898248</v>
      </c>
      <c r="I7" s="19">
        <f>-'Costo de Ventas'!J8</f>
        <v>-431433.93540177442</v>
      </c>
      <c r="J7" s="19">
        <f>-'Costo de Ventas'!K8</f>
        <v>-454255.67988888122</v>
      </c>
      <c r="L7" s="15"/>
    </row>
    <row r="8" spans="1:12" x14ac:dyDescent="0.3">
      <c r="A8" s="2" t="s">
        <v>30</v>
      </c>
      <c r="B8" s="5">
        <f t="shared" ref="B8:G8" si="0">+SUM(B6:B7)</f>
        <v>33373</v>
      </c>
      <c r="C8" s="5">
        <f t="shared" si="0"/>
        <v>25331</v>
      </c>
      <c r="D8" s="5">
        <f t="shared" si="0"/>
        <v>40085</v>
      </c>
      <c r="E8" s="5">
        <f t="shared" si="0"/>
        <v>50502</v>
      </c>
      <c r="F8" s="5">
        <f t="shared" si="0"/>
        <v>45602</v>
      </c>
      <c r="G8" s="5">
        <f t="shared" si="0"/>
        <v>47250</v>
      </c>
      <c r="H8" s="5">
        <f t="shared" ref="H8:J8" si="1">+SUM(H6:H7)</f>
        <v>58945.255411017512</v>
      </c>
      <c r="I8" s="5">
        <f t="shared" si="1"/>
        <v>61727.380545295484</v>
      </c>
      <c r="J8" s="5">
        <f t="shared" si="1"/>
        <v>64987.735235318309</v>
      </c>
    </row>
    <row r="9" spans="1:12" x14ac:dyDescent="0.3">
      <c r="A9" s="8" t="s">
        <v>31</v>
      </c>
      <c r="B9" s="19">
        <v>-7268</v>
      </c>
      <c r="C9" s="19">
        <v>-6041</v>
      </c>
      <c r="D9" s="19">
        <v>-8061</v>
      </c>
      <c r="E9" s="19">
        <v>-10227</v>
      </c>
      <c r="F9" s="19">
        <v>-8903</v>
      </c>
      <c r="G9" s="19">
        <v>-8553</v>
      </c>
      <c r="H9" s="19">
        <f>-'Gasto de Ventas'!H15</f>
        <v>-10476.034376929669</v>
      </c>
      <c r="I9" s="19">
        <f>-'Gasto de Ventas'!I15</f>
        <v>-10931.903041018968</v>
      </c>
      <c r="J9" s="19">
        <f>-'Gasto de Ventas'!J15</f>
        <v>-11468.101548000815</v>
      </c>
      <c r="L9" s="15"/>
    </row>
    <row r="10" spans="1:12" x14ac:dyDescent="0.3">
      <c r="A10" s="8" t="s">
        <v>32</v>
      </c>
      <c r="B10" s="19">
        <v>-10010</v>
      </c>
      <c r="C10" s="19">
        <v>-9714</v>
      </c>
      <c r="D10" s="19">
        <v>-11817</v>
      </c>
      <c r="E10" s="19">
        <v>-13786</v>
      </c>
      <c r="F10" s="19">
        <v>-14667</v>
      </c>
      <c r="G10" s="19">
        <v>-13249</v>
      </c>
      <c r="H10" s="19">
        <f>-'Gasto de Administración'!H17</f>
        <v>-15928.766710060505</v>
      </c>
      <c r="I10" s="19">
        <f>-'Gasto de Administración'!I17</f>
        <v>-16576.894920726787</v>
      </c>
      <c r="J10" s="19">
        <f>-'Gasto de Administración'!J17</f>
        <v>-17337.077509554863</v>
      </c>
      <c r="L10" s="15"/>
    </row>
    <row r="11" spans="1:12" x14ac:dyDescent="0.3">
      <c r="A11" s="8" t="s">
        <v>44</v>
      </c>
      <c r="B11" s="19">
        <v>1430</v>
      </c>
      <c r="C11" s="19">
        <v>1875</v>
      </c>
      <c r="D11" s="19">
        <v>1341</v>
      </c>
      <c r="E11" s="19">
        <v>850</v>
      </c>
      <c r="F11" s="19">
        <v>5634</v>
      </c>
      <c r="G11" s="19">
        <v>1881</v>
      </c>
      <c r="H11" s="19">
        <f>+Supuestos!$C$47</f>
        <v>2169</v>
      </c>
      <c r="I11" s="19">
        <f>+Supuestos!$C$47</f>
        <v>2169</v>
      </c>
      <c r="J11" s="19">
        <f>+Supuestos!$C$47</f>
        <v>2169</v>
      </c>
      <c r="L11" s="15"/>
    </row>
    <row r="12" spans="1:12" x14ac:dyDescent="0.3">
      <c r="A12" s="8" t="s">
        <v>45</v>
      </c>
      <c r="B12" s="19">
        <v>-11</v>
      </c>
      <c r="C12" s="19">
        <v>-10</v>
      </c>
      <c r="D12" s="19">
        <v>-41</v>
      </c>
      <c r="E12" s="19">
        <v>-50</v>
      </c>
      <c r="F12" s="19">
        <v>-36</v>
      </c>
      <c r="G12" s="19">
        <v>-34</v>
      </c>
      <c r="H12" s="19">
        <f>-'Otros Gastos Op'!H8</f>
        <v>-42.385501413</v>
      </c>
      <c r="I12" s="19">
        <f>-'Otros Gastos Op'!I8</f>
        <v>-44.384518435236295</v>
      </c>
      <c r="J12" s="19">
        <f>-'Otros Gastos Op'!J8</f>
        <v>-46.73190736117796</v>
      </c>
      <c r="L12" s="15"/>
    </row>
    <row r="13" spans="1:12" x14ac:dyDescent="0.3">
      <c r="A13" s="2" t="s">
        <v>46</v>
      </c>
      <c r="B13" s="5">
        <f t="shared" ref="B13:G13" si="2">+SUM(B8:B12)</f>
        <v>17514</v>
      </c>
      <c r="C13" s="5">
        <f t="shared" si="2"/>
        <v>11441</v>
      </c>
      <c r="D13" s="5">
        <f t="shared" si="2"/>
        <v>21507</v>
      </c>
      <c r="E13" s="5">
        <f t="shared" si="2"/>
        <v>27289</v>
      </c>
      <c r="F13" s="5">
        <f t="shared" si="2"/>
        <v>27630</v>
      </c>
      <c r="G13" s="5">
        <f t="shared" si="2"/>
        <v>27295</v>
      </c>
      <c r="H13" s="5">
        <f t="shared" ref="H13:J13" si="3">+SUM(H8:H12)</f>
        <v>34667.068822614339</v>
      </c>
      <c r="I13" s="5">
        <f t="shared" si="3"/>
        <v>36343.198065114491</v>
      </c>
      <c r="J13" s="5">
        <f t="shared" si="3"/>
        <v>38304.824270401448</v>
      </c>
    </row>
    <row r="14" spans="1:12" x14ac:dyDescent="0.3">
      <c r="A14" s="8" t="s">
        <v>33</v>
      </c>
      <c r="B14" s="19">
        <v>386</v>
      </c>
      <c r="C14" s="19">
        <v>843</v>
      </c>
      <c r="D14" s="19">
        <v>2507</v>
      </c>
      <c r="E14" s="19">
        <v>1351</v>
      </c>
      <c r="F14" s="19">
        <v>4855</v>
      </c>
      <c r="G14" s="19">
        <v>5148</v>
      </c>
      <c r="H14" s="19">
        <f>+'Ing Financieros'!H5</f>
        <v>3062.3591337301109</v>
      </c>
      <c r="I14" s="19">
        <f>+'Ing Financieros'!I5</f>
        <v>3129.0115843904682</v>
      </c>
      <c r="J14" s="19">
        <f>+'Ing Financieros'!J5</f>
        <v>3302.9809886942303</v>
      </c>
      <c r="L14" s="187"/>
    </row>
    <row r="15" spans="1:12" x14ac:dyDescent="0.3">
      <c r="A15" s="8" t="s">
        <v>34</v>
      </c>
      <c r="B15" s="19">
        <v>-976</v>
      </c>
      <c r="C15" s="19">
        <v>-1187</v>
      </c>
      <c r="D15" s="19">
        <v>-814</v>
      </c>
      <c r="E15" s="19">
        <v>-1449</v>
      </c>
      <c r="F15" s="19">
        <v>-1337</v>
      </c>
      <c r="G15" s="19">
        <v>-1106</v>
      </c>
      <c r="H15" s="19">
        <f>-'Gasto Financiero'!H5</f>
        <v>-1623.4588941210402</v>
      </c>
      <c r="I15" s="19">
        <f>-'Gasto Financiero'!I5</f>
        <v>-1700.0256883327395</v>
      </c>
      <c r="J15" s="19">
        <f>-'Gasto Financiero'!J5</f>
        <v>-1789.9359006161408</v>
      </c>
      <c r="L15" s="187"/>
    </row>
    <row r="16" spans="1:12" x14ac:dyDescent="0.3">
      <c r="A16" s="8" t="s">
        <v>47</v>
      </c>
      <c r="B16" s="19">
        <v>-94</v>
      </c>
      <c r="C16" s="19">
        <v>-565</v>
      </c>
      <c r="D16" s="19">
        <v>-1076</v>
      </c>
      <c r="E16" s="19">
        <v>347</v>
      </c>
      <c r="F16" s="19">
        <v>297</v>
      </c>
      <c r="G16" s="19">
        <v>37</v>
      </c>
      <c r="H16" s="19">
        <f>+Supuestos!$C$51</f>
        <v>-176</v>
      </c>
      <c r="I16" s="19">
        <f>+Supuestos!$C$51</f>
        <v>-176</v>
      </c>
      <c r="J16" s="19">
        <f>+Supuestos!$C$51</f>
        <v>-176</v>
      </c>
      <c r="K16" s="18"/>
      <c r="L16" s="187"/>
    </row>
    <row r="17" spans="1:13" x14ac:dyDescent="0.3">
      <c r="A17" s="2" t="s">
        <v>48</v>
      </c>
      <c r="B17" s="5">
        <f t="shared" ref="B17:G17" si="4">+SUM(B13:B16)</f>
        <v>16830</v>
      </c>
      <c r="C17" s="5">
        <f t="shared" si="4"/>
        <v>10532</v>
      </c>
      <c r="D17" s="5">
        <f t="shared" si="4"/>
        <v>22124</v>
      </c>
      <c r="E17" s="5">
        <f t="shared" si="4"/>
        <v>27538</v>
      </c>
      <c r="F17" s="5">
        <f t="shared" si="4"/>
        <v>31445</v>
      </c>
      <c r="G17" s="5">
        <f t="shared" si="4"/>
        <v>31374</v>
      </c>
      <c r="H17" s="5">
        <f t="shared" ref="H17:J17" si="5">+SUM(H13:H16)</f>
        <v>35929.969062223412</v>
      </c>
      <c r="I17" s="5">
        <f t="shared" si="5"/>
        <v>37596.183961172224</v>
      </c>
      <c r="J17" s="5">
        <f t="shared" si="5"/>
        <v>39641.86935847954</v>
      </c>
    </row>
    <row r="18" spans="1:13" x14ac:dyDescent="0.3">
      <c r="A18" s="6" t="s">
        <v>50</v>
      </c>
      <c r="B18" s="19">
        <v>-5165</v>
      </c>
      <c r="C18" s="19">
        <v>-4347</v>
      </c>
      <c r="D18" s="19">
        <v>-7876</v>
      </c>
      <c r="E18" s="19">
        <v>-7188</v>
      </c>
      <c r="F18" s="19">
        <v>-7475</v>
      </c>
      <c r="G18" s="19">
        <v>-9227</v>
      </c>
      <c r="H18" s="19">
        <f>-H17*Supuestos!$C$55</f>
        <v>-10606.526867168352</v>
      </c>
      <c r="I18" s="19">
        <f>-I17*Supuestos!$C$55</f>
        <v>-11098.393505338041</v>
      </c>
      <c r="J18" s="19">
        <f>-J17*Supuestos!$C$55</f>
        <v>-11702.279834623161</v>
      </c>
      <c r="L18" s="175"/>
    </row>
    <row r="19" spans="1:13" x14ac:dyDescent="0.3">
      <c r="A19" s="2" t="s">
        <v>49</v>
      </c>
      <c r="B19" s="5">
        <f t="shared" ref="B19:G19" si="6">+SUM(B17:B18)</f>
        <v>11665</v>
      </c>
      <c r="C19" s="5">
        <f t="shared" si="6"/>
        <v>6185</v>
      </c>
      <c r="D19" s="5">
        <f t="shared" si="6"/>
        <v>14248</v>
      </c>
      <c r="E19" s="5">
        <f t="shared" si="6"/>
        <v>20350</v>
      </c>
      <c r="F19" s="5">
        <f t="shared" si="6"/>
        <v>23970</v>
      </c>
      <c r="G19" s="5">
        <f t="shared" si="6"/>
        <v>22147</v>
      </c>
      <c r="H19" s="172">
        <f t="shared" ref="H19:J19" si="7">+SUM(H17:H18)</f>
        <v>25323.44219505506</v>
      </c>
      <c r="I19" s="172">
        <f t="shared" si="7"/>
        <v>26497.790455834183</v>
      </c>
      <c r="J19" s="172">
        <f t="shared" si="7"/>
        <v>27939.589523856379</v>
      </c>
      <c r="L19" s="70"/>
      <c r="M19" s="70"/>
    </row>
    <row r="20" spans="1:13" x14ac:dyDescent="0.3">
      <c r="B20" s="18">
        <f>-B18/B17</f>
        <v>0.30689245395127746</v>
      </c>
      <c r="C20" s="18">
        <f t="shared" ref="C20:G20" si="8">-C18/C17</f>
        <v>0.412742119255602</v>
      </c>
      <c r="D20" s="18">
        <f t="shared" si="8"/>
        <v>0.35599349123124208</v>
      </c>
      <c r="E20" s="18">
        <f t="shared" si="8"/>
        <v>0.26102113443242064</v>
      </c>
      <c r="F20" s="18">
        <f t="shared" si="8"/>
        <v>0.23771664811575768</v>
      </c>
      <c r="G20" s="18">
        <f t="shared" si="8"/>
        <v>0.29409702301268564</v>
      </c>
      <c r="L20" s="70"/>
      <c r="M20" s="70"/>
    </row>
    <row r="21" spans="1:13" x14ac:dyDescent="0.3">
      <c r="H21" s="14"/>
    </row>
    <row r="22" spans="1:13" x14ac:dyDescent="0.3">
      <c r="C22" s="22"/>
    </row>
  </sheetData>
  <phoneticPr fontId="4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C13E-A9EB-4643-B02A-6A96D5AC2761}">
  <sheetPr>
    <tabColor rgb="FFC00000"/>
  </sheetPr>
  <dimension ref="A3:O5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55.5546875" customWidth="1"/>
    <col min="2" max="2" width="13.6640625" bestFit="1" customWidth="1"/>
  </cols>
  <sheetData>
    <row r="3" spans="1:15" x14ac:dyDescent="0.3">
      <c r="B3" s="88"/>
      <c r="C3" s="9"/>
      <c r="D3" s="9"/>
      <c r="E3" s="9"/>
      <c r="F3" s="9"/>
      <c r="G3" s="45"/>
      <c r="H3" s="15"/>
      <c r="I3" s="15"/>
      <c r="J3" s="15"/>
    </row>
    <row r="4" spans="1:15" x14ac:dyDescent="0.3">
      <c r="A4" s="1" t="s">
        <v>42</v>
      </c>
      <c r="B4" s="88"/>
      <c r="C4" s="9"/>
      <c r="D4" s="9"/>
      <c r="E4" s="9"/>
      <c r="F4" s="9"/>
      <c r="G4" s="45"/>
      <c r="H4" s="15"/>
      <c r="I4" s="15"/>
      <c r="J4" s="15"/>
    </row>
    <row r="5" spans="1:15" x14ac:dyDescent="0.3">
      <c r="A5" s="7" t="s">
        <v>0</v>
      </c>
      <c r="B5" s="7">
        <v>2019</v>
      </c>
      <c r="C5" s="7">
        <v>2020</v>
      </c>
      <c r="D5" s="7">
        <v>2021</v>
      </c>
      <c r="E5" s="7">
        <v>2022</v>
      </c>
      <c r="F5" s="7">
        <v>2023</v>
      </c>
      <c r="G5" s="7">
        <v>2024</v>
      </c>
      <c r="H5" s="13">
        <v>2025</v>
      </c>
      <c r="I5" s="13">
        <v>2026</v>
      </c>
      <c r="J5" s="13">
        <v>2027</v>
      </c>
      <c r="K5" s="31"/>
    </row>
    <row r="6" spans="1:15" x14ac:dyDescent="0.3">
      <c r="A6" s="2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5" x14ac:dyDescent="0.3">
      <c r="A7" s="2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5" x14ac:dyDescent="0.3">
      <c r="A8" s="8" t="s">
        <v>3</v>
      </c>
      <c r="B8" s="4">
        <v>12187</v>
      </c>
      <c r="C8" s="4">
        <v>21730</v>
      </c>
      <c r="D8" s="4">
        <v>27527</v>
      </c>
      <c r="E8" s="4">
        <v>27157</v>
      </c>
      <c r="F8" s="188">
        <v>32684</v>
      </c>
      <c r="G8" s="188">
        <v>17790</v>
      </c>
      <c r="H8" s="188">
        <f>+H40+H48-H23-SUM(H9:H14)</f>
        <v>63953.698799461185</v>
      </c>
      <c r="I8" s="188">
        <f>I49-I23-SUM(I9:I14)</f>
        <v>82164.158082008173</v>
      </c>
      <c r="J8" s="188">
        <f>J49-J23-SUM(J9:J14)</f>
        <v>75270.962418782467</v>
      </c>
      <c r="K8" s="22"/>
      <c r="L8" s="16"/>
      <c r="M8" s="16"/>
      <c r="N8" s="16"/>
      <c r="O8" s="14"/>
    </row>
    <row r="9" spans="1:15" x14ac:dyDescent="0.3">
      <c r="A9" s="8" t="s">
        <v>4</v>
      </c>
      <c r="B9" s="4">
        <v>24037</v>
      </c>
      <c r="C9" s="4">
        <v>17377</v>
      </c>
      <c r="D9" s="4">
        <v>28388</v>
      </c>
      <c r="E9" s="4">
        <v>26997</v>
      </c>
      <c r="F9" s="4">
        <v>25283</v>
      </c>
      <c r="G9" s="4">
        <v>29131</v>
      </c>
      <c r="H9" s="4">
        <f>+'Fondo Maniobra'!H10</f>
        <v>31045.946450555552</v>
      </c>
      <c r="I9" s="4">
        <f>+'Fondo Maniobra'!I10</f>
        <v>31969.1105871256</v>
      </c>
      <c r="J9" s="4">
        <f>+'Fondo Maniobra'!J10</f>
        <v>34378.659123188787</v>
      </c>
      <c r="O9" s="14"/>
    </row>
    <row r="10" spans="1:15" x14ac:dyDescent="0.3">
      <c r="A10" s="8" t="s">
        <v>5</v>
      </c>
      <c r="B10" s="4">
        <v>23597</v>
      </c>
      <c r="C10" s="4">
        <v>21589</v>
      </c>
      <c r="D10" s="4">
        <v>19573</v>
      </c>
      <c r="E10" s="4">
        <v>53628</v>
      </c>
      <c r="F10" s="4">
        <v>66550</v>
      </c>
      <c r="G10" s="4">
        <v>62623</v>
      </c>
      <c r="H10" s="4">
        <f>+Otros!H7</f>
        <v>6567</v>
      </c>
      <c r="I10" s="4">
        <f>+Otros!I7</f>
        <v>6567</v>
      </c>
      <c r="J10" s="4">
        <f>+Otros!J7</f>
        <v>6567</v>
      </c>
      <c r="O10" s="14"/>
    </row>
    <row r="11" spans="1:15" x14ac:dyDescent="0.3">
      <c r="A11" s="8" t="s">
        <v>6</v>
      </c>
      <c r="B11" s="4">
        <v>3367</v>
      </c>
      <c r="C11" s="4">
        <v>4791</v>
      </c>
      <c r="D11" s="4">
        <v>7889</v>
      </c>
      <c r="E11" s="4">
        <v>13573</v>
      </c>
      <c r="F11" s="4">
        <v>8319</v>
      </c>
      <c r="G11" s="4">
        <v>15067</v>
      </c>
      <c r="H11" s="4">
        <f>+Otros!H13</f>
        <v>12527.270417619999</v>
      </c>
      <c r="I11" s="4">
        <f>+Otros!I13</f>
        <v>13118.091004192058</v>
      </c>
      <c r="J11" s="4">
        <f>+Otros!J13</f>
        <v>13811.874842303707</v>
      </c>
      <c r="O11" s="14"/>
    </row>
    <row r="12" spans="1:15" x14ac:dyDescent="0.3">
      <c r="A12" s="8" t="s">
        <v>7</v>
      </c>
      <c r="B12" s="4">
        <v>28952</v>
      </c>
      <c r="C12" s="4">
        <v>31043</v>
      </c>
      <c r="D12" s="4">
        <v>45809</v>
      </c>
      <c r="E12" s="4">
        <v>57367</v>
      </c>
      <c r="F12" s="4">
        <v>44150</v>
      </c>
      <c r="G12" s="4">
        <v>52414</v>
      </c>
      <c r="H12" s="4">
        <f>+'Fondo Maniobra'!H20</f>
        <v>57453.936077061997</v>
      </c>
      <c r="I12" s="4">
        <f>+'Fondo Maniobra'!I20</f>
        <v>57595.113363411176</v>
      </c>
      <c r="J12" s="4">
        <f>+'Fondo Maniobra'!J20</f>
        <v>63539.734606957165</v>
      </c>
      <c r="O12" s="14"/>
    </row>
    <row r="13" spans="1:15" x14ac:dyDescent="0.3">
      <c r="A13" s="8" t="s">
        <v>55</v>
      </c>
      <c r="B13" s="4">
        <v>0</v>
      </c>
      <c r="C13" s="4">
        <v>0</v>
      </c>
      <c r="D13" s="4">
        <v>0</v>
      </c>
      <c r="E13" s="4">
        <v>354</v>
      </c>
      <c r="F13" s="188">
        <v>629</v>
      </c>
      <c r="G13" s="188">
        <v>480</v>
      </c>
      <c r="H13" s="188">
        <f t="shared" ref="H13:J14" si="0">+G13</f>
        <v>480</v>
      </c>
      <c r="I13" s="4">
        <f t="shared" si="0"/>
        <v>480</v>
      </c>
      <c r="J13" s="4">
        <f t="shared" si="0"/>
        <v>480</v>
      </c>
      <c r="O13" s="14"/>
    </row>
    <row r="14" spans="1:15" x14ac:dyDescent="0.3">
      <c r="A14" s="8" t="s">
        <v>54</v>
      </c>
      <c r="B14" s="4">
        <v>97</v>
      </c>
      <c r="C14" s="4">
        <v>63</v>
      </c>
      <c r="D14" s="4">
        <v>215</v>
      </c>
      <c r="E14" s="4">
        <v>112</v>
      </c>
      <c r="F14" s="4">
        <v>76</v>
      </c>
      <c r="G14" s="4">
        <v>7</v>
      </c>
      <c r="H14" s="4">
        <f t="shared" si="0"/>
        <v>7</v>
      </c>
      <c r="I14" s="4">
        <f t="shared" si="0"/>
        <v>7</v>
      </c>
      <c r="J14" s="4">
        <f t="shared" si="0"/>
        <v>7</v>
      </c>
      <c r="O14" s="14"/>
    </row>
    <row r="15" spans="1:15" x14ac:dyDescent="0.3">
      <c r="A15" s="2" t="s">
        <v>8</v>
      </c>
      <c r="B15" s="5">
        <f t="shared" ref="B15:G15" si="1">+SUM(B8:B14)</f>
        <v>92237</v>
      </c>
      <c r="C15" s="5">
        <f t="shared" si="1"/>
        <v>96593</v>
      </c>
      <c r="D15" s="5">
        <f t="shared" si="1"/>
        <v>129401</v>
      </c>
      <c r="E15" s="5">
        <f t="shared" si="1"/>
        <v>179188</v>
      </c>
      <c r="F15" s="5">
        <f t="shared" si="1"/>
        <v>177691</v>
      </c>
      <c r="G15" s="5">
        <f t="shared" si="1"/>
        <v>177512</v>
      </c>
      <c r="H15" s="5">
        <f t="shared" ref="H15:J15" si="2">+SUM(H8:H14)</f>
        <v>172034.85174469871</v>
      </c>
      <c r="I15" s="5">
        <f t="shared" si="2"/>
        <v>191900.47303673701</v>
      </c>
      <c r="J15" s="5">
        <f t="shared" si="2"/>
        <v>194055.23099123212</v>
      </c>
      <c r="O15" s="14"/>
    </row>
    <row r="16" spans="1:15" x14ac:dyDescent="0.3">
      <c r="A16" s="2" t="s">
        <v>9</v>
      </c>
      <c r="B16" s="3"/>
      <c r="C16" s="3"/>
      <c r="D16" s="3"/>
      <c r="E16" s="3"/>
      <c r="F16" s="3"/>
      <c r="G16" s="3"/>
      <c r="H16" s="3"/>
      <c r="I16" s="3"/>
      <c r="J16" s="3"/>
      <c r="O16" s="14"/>
    </row>
    <row r="17" spans="1:15" ht="28.8" x14ac:dyDescent="0.3">
      <c r="A17" s="8" t="s">
        <v>40</v>
      </c>
      <c r="B17" s="4">
        <v>2080</v>
      </c>
      <c r="C17" s="4">
        <v>11016</v>
      </c>
      <c r="D17" s="4">
        <v>10991</v>
      </c>
      <c r="E17" s="4">
        <v>11074</v>
      </c>
      <c r="F17" s="4">
        <v>11151</v>
      </c>
      <c r="G17" s="4">
        <v>11369</v>
      </c>
      <c r="H17" s="4">
        <f>+Otros!H18</f>
        <v>11369</v>
      </c>
      <c r="I17" s="4">
        <f>+Otros!I18</f>
        <v>11369</v>
      </c>
      <c r="J17" s="4">
        <f>+Otros!J18</f>
        <v>11369</v>
      </c>
      <c r="O17" s="14"/>
    </row>
    <row r="18" spans="1:15" x14ac:dyDescent="0.3">
      <c r="A18" s="10" t="s">
        <v>10</v>
      </c>
      <c r="B18" s="4">
        <v>879</v>
      </c>
      <c r="C18" s="4">
        <v>0</v>
      </c>
      <c r="D18" s="4">
        <v>0</v>
      </c>
      <c r="E18" s="4">
        <v>0</v>
      </c>
      <c r="F18" s="4"/>
      <c r="G18" s="4">
        <v>10769</v>
      </c>
      <c r="H18" s="4">
        <f>+G18</f>
        <v>10769</v>
      </c>
      <c r="I18" s="4">
        <f>+H18</f>
        <v>10769</v>
      </c>
      <c r="J18" s="4">
        <f>+I18</f>
        <v>10769</v>
      </c>
      <c r="O18" s="14"/>
    </row>
    <row r="19" spans="1:15" x14ac:dyDescent="0.3">
      <c r="A19" s="8" t="s">
        <v>11</v>
      </c>
      <c r="B19" s="4">
        <v>37597</v>
      </c>
      <c r="C19" s="4">
        <v>27160</v>
      </c>
      <c r="D19" s="4">
        <v>26929</v>
      </c>
      <c r="E19" s="4">
        <v>29140</v>
      </c>
      <c r="F19" s="4">
        <v>29112</v>
      </c>
      <c r="G19" s="4">
        <v>18499</v>
      </c>
      <c r="H19" s="4">
        <f>+IME!H16</f>
        <v>20708.829428740002</v>
      </c>
      <c r="I19" s="4">
        <f>+IME!I16</f>
        <v>22903.453751519493</v>
      </c>
      <c r="J19" s="4">
        <f>+IME!J16</f>
        <v>25115.97133552724</v>
      </c>
      <c r="O19" s="14"/>
    </row>
    <row r="20" spans="1:15" x14ac:dyDescent="0.3">
      <c r="A20" s="8" t="s">
        <v>35</v>
      </c>
      <c r="B20" s="4">
        <v>60</v>
      </c>
      <c r="C20" s="4">
        <v>32</v>
      </c>
      <c r="D20" s="4">
        <v>24</v>
      </c>
      <c r="E20" s="4">
        <v>28</v>
      </c>
      <c r="F20" s="4">
        <v>59</v>
      </c>
      <c r="G20" s="4">
        <v>379</v>
      </c>
      <c r="H20" s="4">
        <f>+G20</f>
        <v>379</v>
      </c>
      <c r="I20" s="4">
        <f>+H20</f>
        <v>379</v>
      </c>
      <c r="J20" s="4">
        <f>+I20</f>
        <v>379</v>
      </c>
      <c r="O20" s="14"/>
    </row>
    <row r="21" spans="1:15" x14ac:dyDescent="0.3">
      <c r="A21" s="8" t="s">
        <v>56</v>
      </c>
      <c r="B21" s="4">
        <v>0</v>
      </c>
      <c r="C21" s="4">
        <v>0</v>
      </c>
      <c r="D21" s="4">
        <v>0</v>
      </c>
      <c r="E21" s="4">
        <v>616</v>
      </c>
      <c r="F21" s="4">
        <v>1406</v>
      </c>
      <c r="G21" s="4">
        <v>773</v>
      </c>
      <c r="H21" s="4">
        <v>0</v>
      </c>
      <c r="I21" s="4">
        <v>0</v>
      </c>
      <c r="J21" s="4">
        <v>0</v>
      </c>
      <c r="O21" s="14"/>
    </row>
    <row r="22" spans="1:15" x14ac:dyDescent="0.3">
      <c r="A22" s="8" t="s">
        <v>39</v>
      </c>
      <c r="B22" s="4">
        <v>3716</v>
      </c>
      <c r="C22" s="4">
        <v>8839</v>
      </c>
      <c r="D22" s="4">
        <v>5945</v>
      </c>
      <c r="E22" s="4">
        <v>8258</v>
      </c>
      <c r="F22" s="4">
        <v>5590</v>
      </c>
      <c r="G22" s="4">
        <v>13327</v>
      </c>
      <c r="H22" s="4">
        <f>+IME!H34</f>
        <v>10784.75535953</v>
      </c>
      <c r="I22" s="4">
        <f>+IME!I34</f>
        <v>11293.3941351879</v>
      </c>
      <c r="J22" s="4">
        <f>+IME!J34</f>
        <v>11890.674206344169</v>
      </c>
      <c r="O22" s="14"/>
    </row>
    <row r="23" spans="1:15" x14ac:dyDescent="0.3">
      <c r="A23" s="2" t="s">
        <v>12</v>
      </c>
      <c r="B23" s="5">
        <f t="shared" ref="B23:G23" si="3">+SUM(B17:B22)</f>
        <v>44332</v>
      </c>
      <c r="C23" s="5">
        <f t="shared" si="3"/>
        <v>47047</v>
      </c>
      <c r="D23" s="5">
        <f t="shared" si="3"/>
        <v>43889</v>
      </c>
      <c r="E23" s="5">
        <f t="shared" si="3"/>
        <v>49116</v>
      </c>
      <c r="F23" s="5">
        <f t="shared" si="3"/>
        <v>47318</v>
      </c>
      <c r="G23" s="5">
        <f t="shared" si="3"/>
        <v>55116</v>
      </c>
      <c r="H23" s="5">
        <f t="shared" ref="H23:J23" si="4">+SUM(H17:H22)</f>
        <v>54010.584788270004</v>
      </c>
      <c r="I23" s="5">
        <f t="shared" si="4"/>
        <v>56713.847886707401</v>
      </c>
      <c r="J23" s="5">
        <f t="shared" si="4"/>
        <v>59523.64554187141</v>
      </c>
      <c r="O23" s="14"/>
    </row>
    <row r="24" spans="1:15" x14ac:dyDescent="0.3">
      <c r="A24" s="2" t="s">
        <v>13</v>
      </c>
      <c r="B24" s="5">
        <f t="shared" ref="B24:G24" si="5">+B23+B15</f>
        <v>136569</v>
      </c>
      <c r="C24" s="5">
        <f t="shared" si="5"/>
        <v>143640</v>
      </c>
      <c r="D24" s="5">
        <f t="shared" si="5"/>
        <v>173290</v>
      </c>
      <c r="E24" s="5">
        <f t="shared" si="5"/>
        <v>228304</v>
      </c>
      <c r="F24" s="5">
        <f t="shared" si="5"/>
        <v>225009</v>
      </c>
      <c r="G24" s="5">
        <f t="shared" si="5"/>
        <v>232628</v>
      </c>
      <c r="H24" s="5">
        <f t="shared" ref="H24:J24" si="6">+H23+H15</f>
        <v>226045.43653296871</v>
      </c>
      <c r="I24" s="5">
        <f t="shared" si="6"/>
        <v>248614.32092344441</v>
      </c>
      <c r="J24" s="5">
        <f t="shared" si="6"/>
        <v>253578.87653310352</v>
      </c>
      <c r="O24" s="14"/>
    </row>
    <row r="25" spans="1:15" x14ac:dyDescent="0.3">
      <c r="A25" s="1"/>
      <c r="B25" s="232"/>
      <c r="C25" s="232"/>
      <c r="D25" s="232"/>
      <c r="E25" s="232"/>
      <c r="F25" s="232"/>
      <c r="G25" s="232"/>
      <c r="H25" s="1"/>
      <c r="I25" s="1"/>
      <c r="J25" s="1"/>
      <c r="O25" s="14"/>
    </row>
    <row r="26" spans="1:15" x14ac:dyDescent="0.3">
      <c r="A26" s="2" t="s">
        <v>14</v>
      </c>
      <c r="B26" s="3"/>
      <c r="C26" s="3"/>
      <c r="D26" s="3"/>
      <c r="E26" s="3"/>
      <c r="F26" s="3"/>
      <c r="G26" s="3"/>
      <c r="H26" s="3"/>
      <c r="I26" s="3"/>
      <c r="J26" s="3"/>
      <c r="O26" s="14"/>
    </row>
    <row r="27" spans="1:15" x14ac:dyDescent="0.3">
      <c r="A27" s="2" t="s">
        <v>15</v>
      </c>
      <c r="B27" s="3"/>
      <c r="C27" s="3"/>
      <c r="D27" s="3"/>
      <c r="E27" s="3"/>
      <c r="F27" s="3"/>
      <c r="G27" s="3"/>
      <c r="H27" s="3"/>
      <c r="I27" s="3"/>
      <c r="J27" s="3"/>
      <c r="O27" s="14"/>
    </row>
    <row r="28" spans="1:15" x14ac:dyDescent="0.3">
      <c r="A28" s="8" t="s">
        <v>36</v>
      </c>
      <c r="B28" s="4">
        <v>15</v>
      </c>
      <c r="C28" s="4">
        <v>20</v>
      </c>
      <c r="D28" s="4">
        <v>1241</v>
      </c>
      <c r="E28" s="4">
        <v>37</v>
      </c>
      <c r="F28" s="4">
        <v>7</v>
      </c>
      <c r="G28" s="4">
        <v>0</v>
      </c>
      <c r="H28" s="4">
        <f>+G28</f>
        <v>0</v>
      </c>
      <c r="I28" s="4">
        <f>+H28</f>
        <v>0</v>
      </c>
      <c r="J28" s="4">
        <f>+I28</f>
        <v>0</v>
      </c>
      <c r="O28" s="14"/>
    </row>
    <row r="29" spans="1:15" x14ac:dyDescent="0.3">
      <c r="A29" s="8" t="s">
        <v>52</v>
      </c>
      <c r="B29" s="4">
        <v>42680</v>
      </c>
      <c r="C29" s="4">
        <v>45104</v>
      </c>
      <c r="D29" s="4">
        <v>63905</v>
      </c>
      <c r="E29" s="4">
        <v>110118</v>
      </c>
      <c r="F29" s="4">
        <v>109401</v>
      </c>
      <c r="G29" s="4">
        <v>104317</v>
      </c>
      <c r="H29" s="4">
        <f>+'Fondo Maniobra'!H43</f>
        <v>100096.85283806134</v>
      </c>
      <c r="I29" s="4">
        <f>+'Fondo Maniobra'!I43</f>
        <v>114735.96345115374</v>
      </c>
      <c r="J29" s="4">
        <f>+'Fondo Maniobra'!J43</f>
        <v>114346.12178222137</v>
      </c>
      <c r="O29" s="186"/>
    </row>
    <row r="30" spans="1:15" x14ac:dyDescent="0.3">
      <c r="A30" s="8" t="s">
        <v>16</v>
      </c>
      <c r="B30" s="4">
        <v>5179</v>
      </c>
      <c r="C30" s="4">
        <v>8756</v>
      </c>
      <c r="D30" s="4">
        <v>20232</v>
      </c>
      <c r="E30" s="4">
        <v>20249</v>
      </c>
      <c r="F30" s="4">
        <v>13882</v>
      </c>
      <c r="G30" s="4">
        <v>24060</v>
      </c>
      <c r="H30" s="4">
        <f>+'Fondo Maniobra'!H44</f>
        <v>19436.05000175396</v>
      </c>
      <c r="I30" s="4">
        <f>+'Fondo Maniobra'!I44</f>
        <v>22278.561806971091</v>
      </c>
      <c r="J30" s="4">
        <f>+'Fondo Maniobra'!J44</f>
        <v>22202.865299485537</v>
      </c>
      <c r="O30" s="186"/>
    </row>
    <row r="31" spans="1:15" x14ac:dyDescent="0.3">
      <c r="A31" s="8" t="s">
        <v>17</v>
      </c>
      <c r="B31" s="4">
        <v>1487</v>
      </c>
      <c r="C31" s="4">
        <v>1222</v>
      </c>
      <c r="D31" s="4">
        <v>944</v>
      </c>
      <c r="E31" s="4">
        <v>946</v>
      </c>
      <c r="F31" s="4">
        <v>4120</v>
      </c>
      <c r="G31" s="4">
        <v>1372</v>
      </c>
      <c r="H31" s="4">
        <f t="shared" ref="H31:J31" si="7">+G31</f>
        <v>1372</v>
      </c>
      <c r="I31" s="4">
        <f t="shared" si="7"/>
        <v>1372</v>
      </c>
      <c r="J31" s="4">
        <f t="shared" si="7"/>
        <v>1372</v>
      </c>
      <c r="O31" s="186"/>
    </row>
    <row r="32" spans="1:15" x14ac:dyDescent="0.3">
      <c r="A32" s="8" t="s">
        <v>18</v>
      </c>
      <c r="B32" s="4">
        <v>6440</v>
      </c>
      <c r="C32" s="4">
        <v>5854</v>
      </c>
      <c r="D32" s="4">
        <v>6531</v>
      </c>
      <c r="E32" s="4">
        <v>7475</v>
      </c>
      <c r="F32" s="4">
        <v>7116</v>
      </c>
      <c r="G32" s="4">
        <v>6739</v>
      </c>
      <c r="H32" s="4">
        <f>+Supuestos!$G$43</f>
        <v>6739</v>
      </c>
      <c r="I32" s="4">
        <f>+Supuestos!$G$43</f>
        <v>6739</v>
      </c>
      <c r="J32" s="4">
        <f>+Supuestos!$G$43</f>
        <v>6739</v>
      </c>
      <c r="O32" s="14"/>
    </row>
    <row r="33" spans="1:15" x14ac:dyDescent="0.3">
      <c r="A33" s="8" t="s">
        <v>53</v>
      </c>
      <c r="B33" s="4">
        <v>875</v>
      </c>
      <c r="C33" s="4">
        <v>4076</v>
      </c>
      <c r="D33" s="4">
        <v>3088</v>
      </c>
      <c r="E33" s="4">
        <v>2781</v>
      </c>
      <c r="F33" s="4">
        <v>3019</v>
      </c>
      <c r="G33" s="4">
        <v>3028</v>
      </c>
      <c r="H33" s="4">
        <f>+'Pasivo Arrendamiento'!H9</f>
        <v>3986.2339608885677</v>
      </c>
      <c r="I33" s="4">
        <f>+'Pasivo Arrendamiento'!I9</f>
        <v>4174.2357368918265</v>
      </c>
      <c r="J33" s="4">
        <f>+'Pasivo Arrendamiento'!J9</f>
        <v>4395.0008840308546</v>
      </c>
      <c r="O33" s="14"/>
    </row>
    <row r="34" spans="1:15" x14ac:dyDescent="0.3">
      <c r="A34" s="2" t="s">
        <v>19</v>
      </c>
      <c r="B34" s="5">
        <f t="shared" ref="B34:G34" si="8">+SUM(B28:B33)</f>
        <v>56676</v>
      </c>
      <c r="C34" s="5">
        <f t="shared" si="8"/>
        <v>65032</v>
      </c>
      <c r="D34" s="5">
        <f t="shared" si="8"/>
        <v>95941</v>
      </c>
      <c r="E34" s="5">
        <f t="shared" si="8"/>
        <v>141606</v>
      </c>
      <c r="F34" s="5">
        <f t="shared" si="8"/>
        <v>137545</v>
      </c>
      <c r="G34" s="5">
        <f t="shared" si="8"/>
        <v>139516</v>
      </c>
      <c r="H34" s="5">
        <f t="shared" ref="H34:J34" si="9">+SUM(H28:H33)</f>
        <v>131630.13680070388</v>
      </c>
      <c r="I34" s="5">
        <f t="shared" si="9"/>
        <v>149299.76099501667</v>
      </c>
      <c r="J34" s="5">
        <f t="shared" si="9"/>
        <v>149054.98796573776</v>
      </c>
      <c r="O34" s="14"/>
    </row>
    <row r="35" spans="1:15" x14ac:dyDescent="0.3">
      <c r="A35" s="2" t="s">
        <v>20</v>
      </c>
      <c r="B35" s="3"/>
      <c r="C35" s="3"/>
      <c r="D35" s="3"/>
      <c r="E35" s="3"/>
      <c r="F35" s="3"/>
      <c r="G35" s="3"/>
      <c r="H35" s="3"/>
      <c r="I35" s="3"/>
      <c r="J35" s="3"/>
      <c r="O35" s="14"/>
    </row>
    <row r="36" spans="1:15" x14ac:dyDescent="0.3">
      <c r="A36" s="8" t="s">
        <v>36</v>
      </c>
      <c r="B36" s="4">
        <v>4</v>
      </c>
      <c r="C36" s="4">
        <v>69</v>
      </c>
      <c r="D36" s="4">
        <v>87</v>
      </c>
      <c r="E36" s="4">
        <v>20</v>
      </c>
      <c r="F36" s="4">
        <v>0</v>
      </c>
      <c r="G36" s="4"/>
      <c r="H36" s="4">
        <f>+G36</f>
        <v>0</v>
      </c>
      <c r="I36" s="4">
        <f>+H36</f>
        <v>0</v>
      </c>
      <c r="J36" s="4">
        <f>+I36</f>
        <v>0</v>
      </c>
      <c r="O36" s="14"/>
    </row>
    <row r="37" spans="1:15" x14ac:dyDescent="0.3">
      <c r="A37" s="215" t="s">
        <v>53</v>
      </c>
      <c r="B37" s="4">
        <v>2934</v>
      </c>
      <c r="C37" s="4">
        <v>6246</v>
      </c>
      <c r="D37" s="4">
        <v>3237</v>
      </c>
      <c r="E37" s="4">
        <v>6168</v>
      </c>
      <c r="F37" s="4">
        <v>3250</v>
      </c>
      <c r="G37" s="4">
        <v>10725</v>
      </c>
      <c r="H37" s="4">
        <f>+'Pasivo Arrendamiento'!H10</f>
        <v>7693.3264284714323</v>
      </c>
      <c r="I37" s="4">
        <f>+'Pasivo Arrendamiento'!I10</f>
        <v>8056.1648985955062</v>
      </c>
      <c r="J37" s="4">
        <f>+'Pasivo Arrendamiento'!J10</f>
        <v>8482.2358110492933</v>
      </c>
      <c r="O37" s="14"/>
    </row>
    <row r="38" spans="1:15" x14ac:dyDescent="0.3">
      <c r="A38" s="8" t="s">
        <v>41</v>
      </c>
      <c r="B38" s="4">
        <v>1152</v>
      </c>
      <c r="C38" s="4">
        <v>753</v>
      </c>
      <c r="D38" s="4">
        <v>1311</v>
      </c>
      <c r="E38" s="4">
        <v>0</v>
      </c>
      <c r="F38" s="4">
        <v>0</v>
      </c>
      <c r="G38" s="4"/>
      <c r="H38" s="4">
        <f>+G38</f>
        <v>0</v>
      </c>
      <c r="I38" s="4">
        <f>+H38</f>
        <v>0</v>
      </c>
      <c r="J38" s="4">
        <f>+I38</f>
        <v>0</v>
      </c>
      <c r="O38" s="14"/>
    </row>
    <row r="39" spans="1:15" x14ac:dyDescent="0.3">
      <c r="A39" s="2" t="s">
        <v>21</v>
      </c>
      <c r="B39" s="5">
        <f t="shared" ref="B39:G39" si="10">+SUM(B36:B38)</f>
        <v>4090</v>
      </c>
      <c r="C39" s="5">
        <f t="shared" si="10"/>
        <v>7068</v>
      </c>
      <c r="D39" s="5">
        <f t="shared" si="10"/>
        <v>4635</v>
      </c>
      <c r="E39" s="5">
        <f t="shared" si="10"/>
        <v>6188</v>
      </c>
      <c r="F39" s="5">
        <f t="shared" si="10"/>
        <v>3250</v>
      </c>
      <c r="G39" s="5">
        <f t="shared" si="10"/>
        <v>10725</v>
      </c>
      <c r="H39" s="5">
        <f t="shared" ref="H39:J39" si="11">+SUM(H36:H38)</f>
        <v>7693.3264284714323</v>
      </c>
      <c r="I39" s="5">
        <f t="shared" si="11"/>
        <v>8056.1648985955062</v>
      </c>
      <c r="J39" s="5">
        <f t="shared" si="11"/>
        <v>8482.2358110492933</v>
      </c>
      <c r="O39" s="14"/>
    </row>
    <row r="40" spans="1:15" x14ac:dyDescent="0.3">
      <c r="A40" s="2" t="s">
        <v>22</v>
      </c>
      <c r="B40" s="5">
        <f t="shared" ref="B40:G40" si="12">+B39+B34</f>
        <v>60766</v>
      </c>
      <c r="C40" s="5">
        <f t="shared" si="12"/>
        <v>72100</v>
      </c>
      <c r="D40" s="5">
        <f t="shared" si="12"/>
        <v>100576</v>
      </c>
      <c r="E40" s="5">
        <f t="shared" si="12"/>
        <v>147794</v>
      </c>
      <c r="F40" s="5">
        <f t="shared" si="12"/>
        <v>140795</v>
      </c>
      <c r="G40" s="5">
        <f t="shared" si="12"/>
        <v>150241</v>
      </c>
      <c r="H40" s="5">
        <f t="shared" ref="H40:J40" si="13">+H39+H34</f>
        <v>139323.46322917531</v>
      </c>
      <c r="I40" s="5">
        <f t="shared" si="13"/>
        <v>157355.92589361218</v>
      </c>
      <c r="J40" s="5">
        <f t="shared" si="13"/>
        <v>157537.22377678705</v>
      </c>
      <c r="O40" s="14"/>
    </row>
    <row r="41" spans="1:15" x14ac:dyDescent="0.3">
      <c r="A41" s="1"/>
      <c r="B41" s="232"/>
      <c r="C41" s="232"/>
      <c r="D41" s="232"/>
      <c r="E41" s="232"/>
      <c r="F41" s="232"/>
      <c r="G41" s="232"/>
      <c r="H41" s="1"/>
      <c r="I41" s="1"/>
      <c r="J41" s="1"/>
      <c r="O41" s="14"/>
    </row>
    <row r="42" spans="1:15" x14ac:dyDescent="0.3">
      <c r="A42" s="2" t="s">
        <v>23</v>
      </c>
      <c r="B42" s="3"/>
      <c r="C42" s="3"/>
      <c r="D42" s="3"/>
      <c r="E42" s="3"/>
      <c r="F42" s="3"/>
      <c r="G42" s="3"/>
      <c r="H42" s="3"/>
      <c r="I42" s="3"/>
      <c r="J42" s="3"/>
      <c r="O42" s="14"/>
    </row>
    <row r="43" spans="1:15" x14ac:dyDescent="0.3">
      <c r="A43" s="8" t="s">
        <v>24</v>
      </c>
      <c r="B43" s="4">
        <v>53998</v>
      </c>
      <c r="C43" s="4">
        <v>53998</v>
      </c>
      <c r="D43" s="4">
        <v>53998</v>
      </c>
      <c r="E43" s="4">
        <v>53998</v>
      </c>
      <c r="F43" s="4">
        <v>53998</v>
      </c>
      <c r="G43" s="4">
        <v>53998</v>
      </c>
      <c r="H43" s="4">
        <f>+'Cambios Patrimonio'!H6</f>
        <v>53998</v>
      </c>
      <c r="I43" s="4">
        <f>+'Cambios Patrimonio'!I6</f>
        <v>53998</v>
      </c>
      <c r="J43" s="4">
        <f>+'Cambios Patrimonio'!J6</f>
        <v>53998</v>
      </c>
      <c r="O43" s="186"/>
    </row>
    <row r="44" spans="1:15" x14ac:dyDescent="0.3">
      <c r="A44" s="8" t="s">
        <v>37</v>
      </c>
      <c r="B44" s="4">
        <v>1585</v>
      </c>
      <c r="C44" s="4">
        <v>1585</v>
      </c>
      <c r="D44" s="4">
        <v>1585</v>
      </c>
      <c r="E44" s="4">
        <v>1585</v>
      </c>
      <c r="F44" s="4">
        <v>1585</v>
      </c>
      <c r="G44" s="4">
        <v>1585</v>
      </c>
      <c r="H44" s="4">
        <f>+G44</f>
        <v>1585</v>
      </c>
      <c r="I44" s="4">
        <f>+H44</f>
        <v>1585</v>
      </c>
      <c r="J44" s="4">
        <f>+I44</f>
        <v>1585</v>
      </c>
      <c r="O44" s="186"/>
    </row>
    <row r="45" spans="1:15" x14ac:dyDescent="0.3">
      <c r="A45" s="8" t="s">
        <v>25</v>
      </c>
      <c r="B45" s="4">
        <v>10800</v>
      </c>
      <c r="C45" s="4">
        <v>10800</v>
      </c>
      <c r="D45" s="4">
        <v>10800</v>
      </c>
      <c r="E45" s="4">
        <v>10800</v>
      </c>
      <c r="F45" s="4">
        <v>10800</v>
      </c>
      <c r="G45" s="4">
        <v>10800</v>
      </c>
      <c r="H45" s="4">
        <f>+'Cambios Patrimonio'!H15</f>
        <v>10799.6</v>
      </c>
      <c r="I45" s="4">
        <f>+'Cambios Patrimonio'!I15</f>
        <v>10799.6</v>
      </c>
      <c r="J45" s="4">
        <f>+'Cambios Patrimonio'!J15</f>
        <v>10799.6</v>
      </c>
      <c r="O45" s="186"/>
    </row>
    <row r="46" spans="1:15" x14ac:dyDescent="0.3">
      <c r="A46" s="8" t="s">
        <v>26</v>
      </c>
      <c r="B46" s="4">
        <v>9420</v>
      </c>
      <c r="C46" s="4">
        <v>5157</v>
      </c>
      <c r="D46" s="4">
        <v>6198</v>
      </c>
      <c r="E46" s="4">
        <v>14127</v>
      </c>
      <c r="F46" s="4">
        <v>17831</v>
      </c>
      <c r="G46" s="4">
        <v>16004</v>
      </c>
      <c r="H46" s="4">
        <f>+'Cambios Patrimonio'!H23</f>
        <v>20339.373303793425</v>
      </c>
      <c r="I46" s="4">
        <f>+'Cambios Patrimonio'!I23</f>
        <v>24875.795029832243</v>
      </c>
      <c r="J46" s="4">
        <f>+'Cambios Patrimonio'!J23</f>
        <v>29659.052756316454</v>
      </c>
      <c r="O46" s="186"/>
    </row>
    <row r="47" spans="1:15" x14ac:dyDescent="0.3">
      <c r="A47" s="8" t="s">
        <v>38</v>
      </c>
      <c r="B47" s="4">
        <v>0</v>
      </c>
      <c r="C47" s="4">
        <v>0</v>
      </c>
      <c r="D47" s="4">
        <v>133</v>
      </c>
      <c r="E47" s="4">
        <v>0</v>
      </c>
      <c r="F47" s="4"/>
      <c r="G47" s="4"/>
      <c r="H47" s="4">
        <f>+G47</f>
        <v>0</v>
      </c>
      <c r="I47" s="4">
        <f>+H47</f>
        <v>0</v>
      </c>
      <c r="J47" s="4">
        <f>+I47</f>
        <v>0</v>
      </c>
      <c r="O47" s="14"/>
    </row>
    <row r="48" spans="1:15" x14ac:dyDescent="0.3">
      <c r="A48" s="2" t="s">
        <v>27</v>
      </c>
      <c r="B48" s="5">
        <f t="shared" ref="B48:G48" si="14">+SUM(B43:B47)</f>
        <v>75803</v>
      </c>
      <c r="C48" s="5">
        <f t="shared" si="14"/>
        <v>71540</v>
      </c>
      <c r="D48" s="5">
        <f t="shared" si="14"/>
        <v>72714</v>
      </c>
      <c r="E48" s="5">
        <f t="shared" si="14"/>
        <v>80510</v>
      </c>
      <c r="F48" s="5">
        <f t="shared" si="14"/>
        <v>84214</v>
      </c>
      <c r="G48" s="5">
        <f t="shared" si="14"/>
        <v>82387</v>
      </c>
      <c r="H48" s="5">
        <f t="shared" ref="H48:J48" si="15">+SUM(H43:H47)</f>
        <v>86721.973303793435</v>
      </c>
      <c r="I48" s="5">
        <f t="shared" si="15"/>
        <v>91258.395029832245</v>
      </c>
      <c r="J48" s="5">
        <f t="shared" si="15"/>
        <v>96041.652756316456</v>
      </c>
      <c r="O48" s="14"/>
    </row>
    <row r="49" spans="1:15" x14ac:dyDescent="0.3">
      <c r="A49" s="2" t="s">
        <v>28</v>
      </c>
      <c r="B49" s="5">
        <f t="shared" ref="B49:G49" si="16">+B48+B40</f>
        <v>136569</v>
      </c>
      <c r="C49" s="5">
        <f t="shared" si="16"/>
        <v>143640</v>
      </c>
      <c r="D49" s="5">
        <f t="shared" si="16"/>
        <v>173290</v>
      </c>
      <c r="E49" s="5">
        <f t="shared" si="16"/>
        <v>228304</v>
      </c>
      <c r="F49" s="5">
        <f t="shared" si="16"/>
        <v>225009</v>
      </c>
      <c r="G49" s="5">
        <f t="shared" si="16"/>
        <v>232628</v>
      </c>
      <c r="H49" s="5">
        <f t="shared" ref="H49:J49" si="17">+H48+H40</f>
        <v>226045.43653296874</v>
      </c>
      <c r="I49" s="5">
        <f t="shared" si="17"/>
        <v>248614.32092344441</v>
      </c>
      <c r="J49" s="5">
        <f t="shared" si="17"/>
        <v>253578.87653310352</v>
      </c>
      <c r="L49" s="44"/>
      <c r="M49" s="44"/>
      <c r="N49" s="44"/>
      <c r="O49" s="14"/>
    </row>
    <row r="50" spans="1:15" x14ac:dyDescent="0.3">
      <c r="A50" s="11" t="s">
        <v>57</v>
      </c>
      <c r="B50" s="12"/>
      <c r="C50" s="12"/>
      <c r="D50" s="12"/>
      <c r="E50" s="12"/>
      <c r="F50" s="12"/>
      <c r="G50" s="12"/>
      <c r="H50" s="12"/>
      <c r="I50" s="12"/>
      <c r="J50" s="12"/>
      <c r="L50" s="44"/>
      <c r="M50" s="44"/>
      <c r="N50" s="44"/>
    </row>
    <row r="51" spans="1:15" x14ac:dyDescent="0.3">
      <c r="B51" s="15"/>
      <c r="C51" s="15"/>
      <c r="D51" s="15"/>
      <c r="E51" s="15"/>
      <c r="F51" s="15"/>
      <c r="G51" s="15"/>
      <c r="H51" s="15"/>
      <c r="I51" s="15"/>
      <c r="J51" s="15"/>
      <c r="L51" s="44"/>
      <c r="M51" s="44"/>
      <c r="N51" s="44"/>
    </row>
    <row r="52" spans="1:15" x14ac:dyDescent="0.3">
      <c r="B52" s="15"/>
      <c r="C52" s="15"/>
      <c r="D52" s="15"/>
      <c r="E52" s="15"/>
      <c r="F52" s="15"/>
      <c r="G52" s="15"/>
      <c r="H52" s="15"/>
      <c r="I52" s="15"/>
      <c r="J52" s="15"/>
    </row>
    <row r="54" spans="1:15" x14ac:dyDescent="0.3">
      <c r="C54" s="23"/>
      <c r="D54" s="23"/>
      <c r="E54" s="23"/>
      <c r="F54" s="23"/>
      <c r="G54" s="2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E6D-ECF9-41E7-910C-70206208CC5E}">
  <sheetPr>
    <tabColor rgb="FFC00000"/>
  </sheetPr>
  <dimension ref="A2:N3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49.6640625" style="99" customWidth="1"/>
    <col min="2" max="16384" width="11.5546875" style="99"/>
  </cols>
  <sheetData>
    <row r="2" spans="1:14" x14ac:dyDescent="0.3">
      <c r="A2" s="185"/>
    </row>
    <row r="3" spans="1:14" x14ac:dyDescent="0.3">
      <c r="B3"/>
      <c r="C3"/>
      <c r="D3"/>
      <c r="E3"/>
      <c r="F3"/>
      <c r="G3"/>
      <c r="H3"/>
      <c r="I3"/>
      <c r="J3"/>
    </row>
    <row r="4" spans="1:14" x14ac:dyDescent="0.3">
      <c r="A4" s="22" t="s">
        <v>103</v>
      </c>
      <c r="B4"/>
      <c r="C4"/>
      <c r="D4"/>
      <c r="E4"/>
      <c r="F4"/>
      <c r="G4"/>
      <c r="H4"/>
      <c r="I4"/>
      <c r="J4"/>
    </row>
    <row r="5" spans="1:14" x14ac:dyDescent="0.3">
      <c r="A5"/>
      <c r="B5" s="7">
        <v>2019</v>
      </c>
      <c r="C5" s="7">
        <v>2020</v>
      </c>
      <c r="D5" s="7">
        <v>2021</v>
      </c>
      <c r="E5" s="7">
        <v>2022</v>
      </c>
      <c r="F5" s="7">
        <v>2023</v>
      </c>
      <c r="G5" s="7">
        <v>2024</v>
      </c>
      <c r="H5" s="13">
        <v>2025</v>
      </c>
      <c r="I5" s="13">
        <v>2026</v>
      </c>
      <c r="J5" s="13">
        <v>2027</v>
      </c>
    </row>
    <row r="6" spans="1:14" x14ac:dyDescent="0.3">
      <c r="A6" s="114" t="s">
        <v>70</v>
      </c>
      <c r="B6" s="102">
        <f>+ESF!B43</f>
        <v>53998</v>
      </c>
      <c r="C6" s="102">
        <f>+ESF!C43</f>
        <v>53998</v>
      </c>
      <c r="D6" s="102">
        <f>+ESF!D43</f>
        <v>53998</v>
      </c>
      <c r="E6" s="102">
        <f>+ESF!E43</f>
        <v>53998</v>
      </c>
      <c r="F6" s="102">
        <f>+ESF!F43</f>
        <v>53998</v>
      </c>
      <c r="G6" s="102">
        <f>+ESF!G43</f>
        <v>53998</v>
      </c>
      <c r="H6" s="102">
        <f>+G6+H7</f>
        <v>53998</v>
      </c>
      <c r="I6" s="102">
        <f>+H6+I7</f>
        <v>53998</v>
      </c>
      <c r="J6" s="102">
        <f>+I6+J7</f>
        <v>53998</v>
      </c>
    </row>
    <row r="7" spans="1:14" x14ac:dyDescent="0.3">
      <c r="A7" s="114" t="s">
        <v>104</v>
      </c>
      <c r="B7" s="102"/>
      <c r="C7" s="102"/>
      <c r="D7" s="102"/>
      <c r="E7" s="102"/>
      <c r="F7" s="102"/>
      <c r="G7" s="102"/>
      <c r="H7" s="102">
        <f>+Supuestos!G54</f>
        <v>0</v>
      </c>
      <c r="I7" s="102">
        <f>+Supuestos!H54</f>
        <v>0</v>
      </c>
      <c r="J7" s="102">
        <f>+Supuestos!I54</f>
        <v>0</v>
      </c>
    </row>
    <row r="9" spans="1:14" x14ac:dyDescent="0.3">
      <c r="A9" s="100" t="s">
        <v>106</v>
      </c>
      <c r="L9" s="101"/>
      <c r="M9" s="101"/>
      <c r="N9" s="101"/>
    </row>
    <row r="10" spans="1:14" x14ac:dyDescent="0.3">
      <c r="A10" s="7"/>
      <c r="B10" s="7">
        <v>2019</v>
      </c>
      <c r="C10" s="7">
        <v>2020</v>
      </c>
      <c r="D10" s="7">
        <v>2021</v>
      </c>
      <c r="E10" s="7">
        <v>2022</v>
      </c>
      <c r="F10" s="7">
        <v>2023</v>
      </c>
      <c r="G10" s="7">
        <v>2024</v>
      </c>
      <c r="H10" s="13">
        <v>2025</v>
      </c>
      <c r="I10" s="13">
        <v>2026</v>
      </c>
      <c r="J10" s="13">
        <v>2027</v>
      </c>
      <c r="L10" s="101"/>
      <c r="M10" s="101"/>
      <c r="N10" s="101"/>
    </row>
    <row r="11" spans="1:14" x14ac:dyDescent="0.3">
      <c r="A11" s="114" t="s">
        <v>49</v>
      </c>
      <c r="B11" s="116">
        <f>+ER!B19</f>
        <v>11665</v>
      </c>
      <c r="C11" s="116">
        <f>+ER!C19</f>
        <v>6185</v>
      </c>
      <c r="D11" s="116">
        <f>+ER!D19</f>
        <v>14248</v>
      </c>
      <c r="E11" s="116">
        <f>+ER!E19</f>
        <v>20350</v>
      </c>
      <c r="F11" s="116">
        <f>+ER!F19</f>
        <v>23970</v>
      </c>
      <c r="G11" s="116">
        <f>+ER!G19</f>
        <v>22147</v>
      </c>
      <c r="H11" s="116">
        <f>+ER!H19</f>
        <v>25323.44219505506</v>
      </c>
      <c r="I11" s="116">
        <f>+ER!I19</f>
        <v>26497.790455834183</v>
      </c>
      <c r="J11" s="116">
        <f>+ER!J19</f>
        <v>27939.589523856379</v>
      </c>
      <c r="L11" s="101"/>
      <c r="M11" s="101"/>
      <c r="N11" s="101"/>
    </row>
    <row r="12" spans="1:14" x14ac:dyDescent="0.3">
      <c r="A12" s="114" t="s">
        <v>24</v>
      </c>
      <c r="B12" s="102">
        <f>+ESF!B43</f>
        <v>53998</v>
      </c>
      <c r="C12" s="102">
        <f>+ESF!C43</f>
        <v>53998</v>
      </c>
      <c r="D12" s="102">
        <f>+ESF!D43</f>
        <v>53998</v>
      </c>
      <c r="E12" s="102">
        <f>+ESF!E43</f>
        <v>53998</v>
      </c>
      <c r="F12" s="102">
        <f>+ESF!F43</f>
        <v>53998</v>
      </c>
      <c r="G12" s="102">
        <f>+ESF!G43</f>
        <v>53998</v>
      </c>
      <c r="H12" s="102">
        <f>+ESF!H43</f>
        <v>53998</v>
      </c>
      <c r="I12" s="102">
        <f>+ESF!I43</f>
        <v>53998</v>
      </c>
      <c r="J12" s="102">
        <f>+ESF!J43</f>
        <v>53998</v>
      </c>
      <c r="L12" s="101"/>
      <c r="M12" s="101"/>
      <c r="N12" s="101"/>
    </row>
    <row r="13" spans="1:14" x14ac:dyDescent="0.3">
      <c r="A13" s="114" t="s">
        <v>93</v>
      </c>
      <c r="B13" s="102"/>
      <c r="C13" s="102"/>
      <c r="D13" s="102"/>
      <c r="E13" s="102"/>
      <c r="F13" s="102"/>
      <c r="G13" s="102"/>
      <c r="H13" s="102">
        <f>+G11*Supuestos!$G$47</f>
        <v>2214.7000000000003</v>
      </c>
      <c r="I13" s="102">
        <f>+H11*Supuestos!$G$47</f>
        <v>2532.3442195055063</v>
      </c>
      <c r="J13" s="102">
        <f>+I11*Supuestos!$G$47</f>
        <v>2649.7790455834183</v>
      </c>
    </row>
    <row r="14" spans="1:14" x14ac:dyDescent="0.3">
      <c r="A14" s="114" t="s">
        <v>96</v>
      </c>
      <c r="B14" s="102"/>
      <c r="C14" s="102"/>
      <c r="D14" s="102"/>
      <c r="E14" s="102"/>
      <c r="F14" s="102"/>
      <c r="G14" s="102"/>
      <c r="H14" s="102">
        <f>G12*Supuestos!$G$48</f>
        <v>10799.6</v>
      </c>
      <c r="I14" s="102">
        <f>H12*Supuestos!$G$48</f>
        <v>10799.6</v>
      </c>
      <c r="J14" s="102">
        <f>I12*Supuestos!$G$48</f>
        <v>10799.6</v>
      </c>
    </row>
    <row r="15" spans="1:14" x14ac:dyDescent="0.3">
      <c r="A15" s="114" t="str">
        <f>+ESF!A45</f>
        <v>Otras Reservas de Capital</v>
      </c>
      <c r="B15" s="102">
        <f>+ESF!B45</f>
        <v>10800</v>
      </c>
      <c r="C15" s="102">
        <f>+ESF!C45</f>
        <v>10800</v>
      </c>
      <c r="D15" s="102">
        <f>+ESF!D45</f>
        <v>10800</v>
      </c>
      <c r="E15" s="102">
        <f>+ESF!E45</f>
        <v>10800</v>
      </c>
      <c r="F15" s="102">
        <f>+ESF!F45</f>
        <v>10800</v>
      </c>
      <c r="G15" s="102">
        <f>+ESF!G45</f>
        <v>10800</v>
      </c>
      <c r="H15" s="108">
        <f>MIN(G15+H13,H14)</f>
        <v>10799.6</v>
      </c>
      <c r="I15" s="108">
        <f t="shared" ref="I15:J15" si="0">MIN(H15+I13,I14)</f>
        <v>10799.6</v>
      </c>
      <c r="J15" s="108">
        <f t="shared" si="0"/>
        <v>10799.6</v>
      </c>
    </row>
    <row r="16" spans="1:14" x14ac:dyDescent="0.3">
      <c r="A16" s="105"/>
      <c r="B16" s="115">
        <f>B15/B12</f>
        <v>0.200007407681766</v>
      </c>
      <c r="C16" s="115">
        <f t="shared" ref="C16:G16" si="1">C15/C12</f>
        <v>0.200007407681766</v>
      </c>
      <c r="D16" s="115">
        <f t="shared" si="1"/>
        <v>0.200007407681766</v>
      </c>
      <c r="E16" s="115">
        <f t="shared" ref="E16" si="2">E15/E12</f>
        <v>0.200007407681766</v>
      </c>
      <c r="F16" s="115">
        <f t="shared" si="1"/>
        <v>0.200007407681766</v>
      </c>
      <c r="G16" s="115">
        <f t="shared" si="1"/>
        <v>0.200007407681766</v>
      </c>
    </row>
    <row r="17" spans="1:10" x14ac:dyDescent="0.3">
      <c r="H17" s="180"/>
      <c r="I17" s="180"/>
      <c r="J17" s="180"/>
    </row>
    <row r="18" spans="1:10" x14ac:dyDescent="0.3">
      <c r="A18" s="100" t="s">
        <v>107</v>
      </c>
    </row>
    <row r="19" spans="1:10" x14ac:dyDescent="0.3">
      <c r="A19" s="34"/>
      <c r="B19" s="7">
        <v>2019</v>
      </c>
      <c r="C19" s="7">
        <v>2020</v>
      </c>
      <c r="D19" s="7">
        <v>2021</v>
      </c>
      <c r="E19" s="7">
        <v>2022</v>
      </c>
      <c r="F19" s="7">
        <v>2023</v>
      </c>
      <c r="G19" s="7">
        <v>2024</v>
      </c>
      <c r="H19" s="13">
        <v>2025</v>
      </c>
      <c r="I19" s="13">
        <v>2026</v>
      </c>
      <c r="J19" s="13">
        <v>2027</v>
      </c>
    </row>
    <row r="20" spans="1:10" x14ac:dyDescent="0.3">
      <c r="A20" s="35" t="s">
        <v>122</v>
      </c>
      <c r="B20" s="106">
        <v>7651</v>
      </c>
      <c r="C20" s="107">
        <f>+B23</f>
        <v>9420</v>
      </c>
      <c r="D20" s="107">
        <f t="shared" ref="D20:G20" si="3">+C23</f>
        <v>5157</v>
      </c>
      <c r="E20" s="107">
        <f t="shared" si="3"/>
        <v>6198</v>
      </c>
      <c r="F20" s="107">
        <f>+D23</f>
        <v>6198</v>
      </c>
      <c r="G20" s="107">
        <f t="shared" si="3"/>
        <v>17831</v>
      </c>
      <c r="H20" s="107">
        <f>+G23</f>
        <v>16004</v>
      </c>
      <c r="I20" s="108">
        <f>+H23</f>
        <v>20339.373303793425</v>
      </c>
      <c r="J20" s="108">
        <f>+I23</f>
        <v>24875.795029832243</v>
      </c>
    </row>
    <row r="21" spans="1:10" x14ac:dyDescent="0.3">
      <c r="A21" s="35" t="s">
        <v>172</v>
      </c>
      <c r="B21" s="109">
        <v>8181</v>
      </c>
      <c r="C21" s="110">
        <f>ER!C19</f>
        <v>6185</v>
      </c>
      <c r="D21" s="110">
        <f>ER!D19</f>
        <v>14248</v>
      </c>
      <c r="E21" s="110">
        <f>ER!E19</f>
        <v>20350</v>
      </c>
      <c r="F21" s="110">
        <f>ER!F19</f>
        <v>23970</v>
      </c>
      <c r="G21" s="110">
        <f>ER!G19</f>
        <v>22147</v>
      </c>
      <c r="H21" s="107">
        <f>ER!H19</f>
        <v>25323.44219505506</v>
      </c>
      <c r="I21" s="107">
        <f>ER!I19</f>
        <v>26497.790455834183</v>
      </c>
      <c r="J21" s="107">
        <f>ER!J19</f>
        <v>27939.589523856379</v>
      </c>
    </row>
    <row r="22" spans="1:10" x14ac:dyDescent="0.3">
      <c r="A22" s="35" t="s">
        <v>173</v>
      </c>
      <c r="B22" s="110">
        <f t="shared" ref="B22:G22" si="4">B20+B21-B23</f>
        <v>6412</v>
      </c>
      <c r="C22" s="110">
        <f t="shared" si="4"/>
        <v>10448</v>
      </c>
      <c r="D22" s="110">
        <f t="shared" si="4"/>
        <v>13207</v>
      </c>
      <c r="E22" s="110">
        <f t="shared" si="4"/>
        <v>12421</v>
      </c>
      <c r="F22" s="110">
        <f t="shared" si="4"/>
        <v>12337</v>
      </c>
      <c r="G22" s="110">
        <f t="shared" si="4"/>
        <v>23974</v>
      </c>
      <c r="H22" s="107">
        <f>+H21*Supuestos!$G$51</f>
        <v>20988.068891261635</v>
      </c>
      <c r="I22" s="107">
        <f>+I21*Supuestos!$G$51</f>
        <v>21961.368729795369</v>
      </c>
      <c r="J22" s="107">
        <f>+J21*Supuestos!$G$51</f>
        <v>23156.331797372168</v>
      </c>
    </row>
    <row r="23" spans="1:10" x14ac:dyDescent="0.3">
      <c r="A23" s="35" t="s">
        <v>123</v>
      </c>
      <c r="B23" s="107">
        <f>ESF!B46</f>
        <v>9420</v>
      </c>
      <c r="C23" s="107">
        <f>ESF!C46</f>
        <v>5157</v>
      </c>
      <c r="D23" s="107">
        <f>ESF!D46</f>
        <v>6198</v>
      </c>
      <c r="E23" s="107">
        <f>ESF!E46</f>
        <v>14127</v>
      </c>
      <c r="F23" s="107">
        <f>ESF!F46</f>
        <v>17831</v>
      </c>
      <c r="G23" s="107">
        <f>ESF!G46</f>
        <v>16004</v>
      </c>
      <c r="H23" s="107">
        <f>H20+H21-H22</f>
        <v>20339.373303793425</v>
      </c>
      <c r="I23" s="107">
        <f>I20+I21-I22</f>
        <v>24875.795029832243</v>
      </c>
      <c r="J23" s="107">
        <f>J20+J21-J22</f>
        <v>29659.052756316454</v>
      </c>
    </row>
    <row r="25" spans="1:10" x14ac:dyDescent="0.3">
      <c r="A25" s="103" t="s">
        <v>98</v>
      </c>
      <c r="B25" s="111">
        <f t="shared" ref="B25:J25" si="5">B22/B21</f>
        <v>0.7837672656154504</v>
      </c>
      <c r="C25" s="111">
        <f t="shared" si="5"/>
        <v>1.689248181083266</v>
      </c>
      <c r="D25" s="112">
        <f t="shared" si="5"/>
        <v>0.92693711398090961</v>
      </c>
      <c r="E25" s="112">
        <f t="shared" ref="E25" si="6">E22/E21</f>
        <v>0.61036855036855042</v>
      </c>
      <c r="F25" s="112">
        <f t="shared" si="5"/>
        <v>0.51468502294534835</v>
      </c>
      <c r="G25" s="112">
        <f t="shared" si="5"/>
        <v>1.0824942430125977</v>
      </c>
      <c r="H25" s="112">
        <f t="shared" si="5"/>
        <v>0.82880000000000009</v>
      </c>
      <c r="I25" s="112">
        <f t="shared" si="5"/>
        <v>0.82879999999999998</v>
      </c>
      <c r="J25" s="112">
        <f t="shared" si="5"/>
        <v>0.82879999999999998</v>
      </c>
    </row>
    <row r="27" spans="1:10" x14ac:dyDescent="0.3">
      <c r="C27" s="104"/>
    </row>
    <row r="28" spans="1:10" x14ac:dyDescent="0.3">
      <c r="A28" s="105"/>
      <c r="B28" s="34" t="s">
        <v>227</v>
      </c>
    </row>
    <row r="29" spans="1:10" x14ac:dyDescent="0.3">
      <c r="A29" s="103" t="s">
        <v>92</v>
      </c>
      <c r="B29" s="113">
        <f>+SUM(B21:G21)</f>
        <v>95081</v>
      </c>
    </row>
    <row r="30" spans="1:10" x14ac:dyDescent="0.3">
      <c r="A30" s="35" t="s">
        <v>97</v>
      </c>
      <c r="B30" s="113">
        <f>+SUM(B22:G22)</f>
        <v>78799</v>
      </c>
    </row>
    <row r="31" spans="1:10" x14ac:dyDescent="0.3">
      <c r="A31" s="103" t="s">
        <v>98</v>
      </c>
      <c r="B31" s="250">
        <f>B30/B29</f>
        <v>0.82875653390267245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0F6A-951D-406F-AD79-6416247FD6C9}">
  <sheetPr>
    <tabColor rgb="FFC00000"/>
  </sheetPr>
  <dimension ref="B4:K67"/>
  <sheetViews>
    <sheetView showGridLines="0" zoomScaleNormal="100" workbookViewId="0">
      <pane ySplit="3" topLeftCell="A4" activePane="bottomLeft" state="frozen"/>
      <selection pane="bottomLeft" activeCell="B1" sqref="B1"/>
    </sheetView>
  </sheetViews>
  <sheetFormatPr baseColWidth="10" defaultRowHeight="14.4" x14ac:dyDescent="0.3"/>
  <cols>
    <col min="1" max="1" width="2.109375" style="43" customWidth="1"/>
    <col min="2" max="2" width="47.5546875" style="43" bestFit="1" customWidth="1"/>
    <col min="3" max="3" width="14.33203125" style="43" customWidth="1"/>
    <col min="4" max="5" width="12" style="43" customWidth="1"/>
    <col min="6" max="6" width="2.5546875" style="43" customWidth="1"/>
    <col min="7" max="7" width="45.109375" style="43" customWidth="1"/>
    <col min="8" max="10" width="12" style="43" customWidth="1"/>
    <col min="11" max="11" width="14.33203125" style="43" customWidth="1"/>
    <col min="12" max="16384" width="11.5546875" style="43"/>
  </cols>
  <sheetData>
    <row r="4" spans="2:5" x14ac:dyDescent="0.3">
      <c r="B4" s="146"/>
      <c r="C4" s="13">
        <v>2025</v>
      </c>
      <c r="D4" s="13">
        <v>2026</v>
      </c>
      <c r="E4" s="13">
        <v>2027</v>
      </c>
    </row>
    <row r="5" spans="2:5" x14ac:dyDescent="0.3">
      <c r="B5" s="151" t="s">
        <v>59</v>
      </c>
      <c r="C5" s="152">
        <f>+ER!H6</f>
        <v>470950.01569999999</v>
      </c>
      <c r="D5" s="152">
        <f>+ER!I6</f>
        <v>493161.3159470699</v>
      </c>
      <c r="E5" s="152">
        <f>+ER!J6</f>
        <v>519243.41512419953</v>
      </c>
    </row>
    <row r="6" spans="2:5" x14ac:dyDescent="0.3">
      <c r="B6" s="151" t="s">
        <v>185</v>
      </c>
      <c r="C6" s="152">
        <f>'Fuentes Usos'!B9</f>
        <v>-1914.9464505555516</v>
      </c>
      <c r="D6" s="152">
        <f>'Fuentes Usos'!C9</f>
        <v>-923.16413657004887</v>
      </c>
      <c r="E6" s="152">
        <f>'Fuentes Usos'!D9</f>
        <v>-2409.5485360631865</v>
      </c>
    </row>
    <row r="7" spans="2:5" x14ac:dyDescent="0.3">
      <c r="B7" s="157" t="s">
        <v>186</v>
      </c>
      <c r="C7" s="62">
        <f>+SUM(C5:C6)</f>
        <v>469035.06924944441</v>
      </c>
      <c r="D7" s="62">
        <f t="shared" ref="D7:E7" si="0">+SUM(D5:D6)</f>
        <v>492238.15181049984</v>
      </c>
      <c r="E7" s="62">
        <f t="shared" si="0"/>
        <v>516833.86658813636</v>
      </c>
    </row>
    <row r="8" spans="2:5" x14ac:dyDescent="0.3">
      <c r="B8" s="146"/>
    </row>
    <row r="9" spans="2:5" x14ac:dyDescent="0.3">
      <c r="B9" s="146"/>
      <c r="C9" s="13">
        <v>2025</v>
      </c>
      <c r="D9" s="13">
        <v>2026</v>
      </c>
      <c r="E9" s="13">
        <v>2027</v>
      </c>
    </row>
    <row r="10" spans="2:5" x14ac:dyDescent="0.3">
      <c r="B10" s="151" t="s">
        <v>85</v>
      </c>
      <c r="C10" s="152">
        <f>'Fondo Maniobra'!H35</f>
        <v>417044.69636604446</v>
      </c>
      <c r="D10" s="152">
        <f>'Fondo Maniobra'!I35</f>
        <v>431575.1126881236</v>
      </c>
      <c r="E10" s="152">
        <f>'Fondo Maniobra'!J35</f>
        <v>460200.30113242724</v>
      </c>
    </row>
    <row r="11" spans="2:5" x14ac:dyDescent="0.3">
      <c r="B11" s="153" t="s">
        <v>184</v>
      </c>
      <c r="C11" s="152">
        <f>-'Fuentes Usos'!B29</f>
        <v>4220.1471619386575</v>
      </c>
      <c r="D11" s="152">
        <f>-'Fuentes Usos'!C29</f>
        <v>-14639.110613092402</v>
      </c>
      <c r="E11" s="152">
        <f>-'Fuentes Usos'!D29</f>
        <v>389.84166893237852</v>
      </c>
    </row>
    <row r="12" spans="2:5" x14ac:dyDescent="0.3">
      <c r="B12" s="153" t="s">
        <v>184</v>
      </c>
      <c r="C12" s="152">
        <f>-'Fuentes Usos'!B30</f>
        <v>4623.9499982460402</v>
      </c>
      <c r="D12" s="152">
        <f>-'Fuentes Usos'!C30</f>
        <v>-2842.511805217131</v>
      </c>
      <c r="E12" s="152">
        <f>-'Fuentes Usos'!D30</f>
        <v>75.696507485554321</v>
      </c>
    </row>
    <row r="13" spans="2:5" x14ac:dyDescent="0.3">
      <c r="B13" s="154" t="s">
        <v>54</v>
      </c>
      <c r="C13" s="152">
        <f>-+'Fuentes Usos'!B14</f>
        <v>0</v>
      </c>
      <c r="D13" s="152">
        <f>-+'Fuentes Usos'!C14</f>
        <v>0</v>
      </c>
      <c r="E13" s="152">
        <f>-+'Fuentes Usos'!D14</f>
        <v>0</v>
      </c>
    </row>
    <row r="14" spans="2:5" x14ac:dyDescent="0.3">
      <c r="B14" s="154" t="s">
        <v>188</v>
      </c>
      <c r="C14" s="152">
        <f>-IME!H21</f>
        <v>-1480.81757148</v>
      </c>
      <c r="D14" s="152">
        <f>-IME!I21</f>
        <v>-1657.7111467030827</v>
      </c>
      <c r="E14" s="152">
        <f>-IME!J21</f>
        <v>-1833.3875756975831</v>
      </c>
    </row>
    <row r="15" spans="2:5" x14ac:dyDescent="0.3">
      <c r="B15" s="154" t="s">
        <v>47</v>
      </c>
      <c r="C15" s="152">
        <f>-ER!H16</f>
        <v>176</v>
      </c>
      <c r="D15" s="152">
        <f>-ER!I16</f>
        <v>176</v>
      </c>
      <c r="E15" s="152">
        <f>-ER!J16</f>
        <v>176</v>
      </c>
    </row>
    <row r="16" spans="2:5" x14ac:dyDescent="0.3">
      <c r="B16" s="67" t="s">
        <v>187</v>
      </c>
      <c r="C16" s="62">
        <f>+SUM(C10:C15)</f>
        <v>424583.97595474916</v>
      </c>
      <c r="D16" s="62">
        <f>+SUM(D10:D15)</f>
        <v>412611.77912311093</v>
      </c>
      <c r="E16" s="62">
        <f>+SUM(E10:E15)</f>
        <v>459008.45173314767</v>
      </c>
    </row>
    <row r="17" spans="2:11" x14ac:dyDescent="0.3">
      <c r="B17" s="146"/>
      <c r="C17" s="155"/>
      <c r="D17" s="155"/>
      <c r="E17" s="155"/>
    </row>
    <row r="18" spans="2:11" x14ac:dyDescent="0.3">
      <c r="B18" s="146"/>
      <c r="C18" s="13">
        <v>2025</v>
      </c>
      <c r="D18" s="13">
        <v>2026</v>
      </c>
      <c r="E18" s="13">
        <v>2027</v>
      </c>
    </row>
    <row r="19" spans="2:11" x14ac:dyDescent="0.3">
      <c r="B19" s="154" t="s">
        <v>31</v>
      </c>
      <c r="C19" s="152">
        <f>-ER!H9</f>
        <v>10476.034376929669</v>
      </c>
      <c r="D19" s="152">
        <f>-ER!I9</f>
        <v>10931.903041018968</v>
      </c>
      <c r="E19" s="152">
        <f>-ER!J9</f>
        <v>11468.101548000815</v>
      </c>
    </row>
    <row r="20" spans="2:11" x14ac:dyDescent="0.3">
      <c r="B20" s="154" t="s">
        <v>188</v>
      </c>
      <c r="C20" s="152">
        <f>-IME!H22-IME!H36</f>
        <v>-904.04558562999989</v>
      </c>
      <c r="D20" s="152">
        <f>-IME!I22-IME!I36</f>
        <v>-910.14332266078213</v>
      </c>
      <c r="E20" s="152">
        <f>-IME!J22-IME!J36</f>
        <v>-916.19910317833023</v>
      </c>
    </row>
    <row r="21" spans="2:11" x14ac:dyDescent="0.3">
      <c r="B21" s="158" t="s">
        <v>31</v>
      </c>
      <c r="C21" s="62">
        <f>+SUM(C19:C20)</f>
        <v>9571.9887912996692</v>
      </c>
      <c r="D21" s="62">
        <f t="shared" ref="D21:E21" si="1">+SUM(D19:D20)</f>
        <v>10021.759718358186</v>
      </c>
      <c r="E21" s="62">
        <f t="shared" si="1"/>
        <v>10551.902444822485</v>
      </c>
    </row>
    <row r="22" spans="2:11" x14ac:dyDescent="0.3">
      <c r="B22" s="148"/>
      <c r="C22" s="155"/>
      <c r="D22" s="155"/>
      <c r="E22" s="155"/>
    </row>
    <row r="23" spans="2:11" x14ac:dyDescent="0.3">
      <c r="B23" s="148"/>
      <c r="C23" s="13">
        <v>2025</v>
      </c>
      <c r="D23" s="13">
        <v>2026</v>
      </c>
      <c r="E23" s="13">
        <v>2027</v>
      </c>
      <c r="H23" s="254"/>
    </row>
    <row r="24" spans="2:11" x14ac:dyDescent="0.3">
      <c r="B24" s="154" t="s">
        <v>32</v>
      </c>
      <c r="C24" s="152">
        <f>-ER!H10</f>
        <v>15928.766710060505</v>
      </c>
      <c r="D24" s="152">
        <f>-ER!I10</f>
        <v>16576.894920726787</v>
      </c>
      <c r="E24" s="152">
        <f>-ER!J10</f>
        <v>17337.077509554863</v>
      </c>
      <c r="H24" s="254"/>
    </row>
    <row r="25" spans="2:11" x14ac:dyDescent="0.3">
      <c r="B25" s="154" t="s">
        <v>188</v>
      </c>
      <c r="C25" s="152">
        <f>-IME!H23-IME!H35</f>
        <v>-2066.0975428900001</v>
      </c>
      <c r="D25" s="152">
        <f>-IME!I23-IME!I35</f>
        <v>-2080.4439986226171</v>
      </c>
      <c r="E25" s="152">
        <f>-IME!J23-IME!J35</f>
        <v>-2094.6917411347772</v>
      </c>
    </row>
    <row r="26" spans="2:11" x14ac:dyDescent="0.3">
      <c r="B26" s="158" t="s">
        <v>32</v>
      </c>
      <c r="C26" s="62">
        <f>+SUM(C24:C25)</f>
        <v>13862.669167170505</v>
      </c>
      <c r="D26" s="62">
        <f t="shared" ref="D26:E26" si="2">+SUM(D24:D25)</f>
        <v>14496.45092210417</v>
      </c>
      <c r="E26" s="62">
        <f t="shared" si="2"/>
        <v>15242.385768420087</v>
      </c>
      <c r="H26" s="44"/>
    </row>
    <row r="27" spans="2:11" x14ac:dyDescent="0.3">
      <c r="B27" s="146"/>
      <c r="C27" s="155"/>
      <c r="D27" s="155"/>
      <c r="E27" s="155"/>
      <c r="H27" s="44"/>
      <c r="I27" s="44"/>
      <c r="J27" s="44"/>
    </row>
    <row r="29" spans="2:11" ht="17.399999999999999" x14ac:dyDescent="0.35">
      <c r="B29" s="46" t="s">
        <v>111</v>
      </c>
      <c r="C29" s="47"/>
      <c r="G29" s="46" t="s">
        <v>110</v>
      </c>
    </row>
    <row r="30" spans="2:11" ht="15" thickBot="1" x14ac:dyDescent="0.35">
      <c r="B30" s="146"/>
      <c r="C30" s="13">
        <v>2025</v>
      </c>
      <c r="D30" s="13">
        <v>2026</v>
      </c>
      <c r="E30" s="13">
        <v>2027</v>
      </c>
      <c r="H30" s="13">
        <v>2025</v>
      </c>
      <c r="I30" s="13">
        <v>2026</v>
      </c>
      <c r="J30" s="13">
        <v>2027</v>
      </c>
    </row>
    <row r="31" spans="2:11" x14ac:dyDescent="0.3">
      <c r="B31" s="159" t="s">
        <v>112</v>
      </c>
      <c r="C31" s="48">
        <f>+C7</f>
        <v>469035.06924944441</v>
      </c>
      <c r="D31" s="48">
        <f>+D7</f>
        <v>492238.15181049984</v>
      </c>
      <c r="E31" s="256">
        <f>+E7</f>
        <v>516833.86658813636</v>
      </c>
      <c r="G31" s="255" t="s">
        <v>46</v>
      </c>
      <c r="H31" s="163">
        <f>ER!H13</f>
        <v>34667.068822614339</v>
      </c>
      <c r="I31" s="163">
        <f>ER!I13</f>
        <v>36343.198065114491</v>
      </c>
      <c r="J31" s="164">
        <f>ER!J13</f>
        <v>38304.824270401448</v>
      </c>
    </row>
    <row r="32" spans="2:11" x14ac:dyDescent="0.3">
      <c r="B32" s="150" t="s">
        <v>126</v>
      </c>
      <c r="C32" s="51">
        <f>-C16</f>
        <v>-424583.97595474916</v>
      </c>
      <c r="D32" s="51">
        <f t="shared" ref="D32:E32" si="3">-D16</f>
        <v>-412611.77912311093</v>
      </c>
      <c r="E32" s="257">
        <f t="shared" si="3"/>
        <v>-459008.45173314767</v>
      </c>
      <c r="G32" s="171" t="s">
        <v>47</v>
      </c>
      <c r="H32" s="167">
        <f>ER!H16</f>
        <v>-176</v>
      </c>
      <c r="I32" s="167">
        <f>ER!I16</f>
        <v>-176</v>
      </c>
      <c r="J32" s="168">
        <f>ER!J16</f>
        <v>-176</v>
      </c>
      <c r="K32" s="71"/>
    </row>
    <row r="33" spans="2:11" x14ac:dyDescent="0.3">
      <c r="B33" s="150" t="s">
        <v>31</v>
      </c>
      <c r="C33" s="51">
        <f>-C21</f>
        <v>-9571.9887912996692</v>
      </c>
      <c r="D33" s="51">
        <f t="shared" ref="D33:E33" si="4">-D21</f>
        <v>-10021.759718358186</v>
      </c>
      <c r="E33" s="257">
        <f t="shared" si="4"/>
        <v>-10551.902444822485</v>
      </c>
      <c r="G33" s="216" t="s">
        <v>50</v>
      </c>
      <c r="H33" s="169">
        <f>ER!H18</f>
        <v>-10606.526867168352</v>
      </c>
      <c r="I33" s="169">
        <f>ER!I18</f>
        <v>-11098.393505338041</v>
      </c>
      <c r="J33" s="170">
        <f>ER!J18</f>
        <v>-11702.279834623161</v>
      </c>
    </row>
    <row r="34" spans="2:11" x14ac:dyDescent="0.3">
      <c r="B34" s="150" t="s">
        <v>32</v>
      </c>
      <c r="C34" s="51">
        <f>-C26</f>
        <v>-13862.669167170505</v>
      </c>
      <c r="D34" s="51">
        <f t="shared" ref="D34:E34" si="5">-D26</f>
        <v>-14496.45092210417</v>
      </c>
      <c r="E34" s="257">
        <f t="shared" si="5"/>
        <v>-15242.385768420087</v>
      </c>
      <c r="G34" s="217" t="s">
        <v>226</v>
      </c>
      <c r="H34" s="165">
        <f>+IME!H14+IME!H33</f>
        <v>4450.9606999999996</v>
      </c>
      <c r="I34" s="165">
        <f>+IME!I14+IME!I33</f>
        <v>4648.2984679864821</v>
      </c>
      <c r="J34" s="165">
        <f>+IME!J14+IME!J33</f>
        <v>4844.2784200106908</v>
      </c>
    </row>
    <row r="35" spans="2:11" x14ac:dyDescent="0.3">
      <c r="B35" s="150" t="s">
        <v>44</v>
      </c>
      <c r="C35" s="51">
        <f>+ER!H11</f>
        <v>2169</v>
      </c>
      <c r="D35" s="51">
        <f>+ER!I11</f>
        <v>2169</v>
      </c>
      <c r="E35" s="257">
        <f>+ER!J11</f>
        <v>2169</v>
      </c>
      <c r="G35" s="218" t="s">
        <v>189</v>
      </c>
      <c r="H35" s="165">
        <f>+'Fuentes Usos'!B9</f>
        <v>-1914.9464505555516</v>
      </c>
      <c r="I35" s="165">
        <f>+'Fuentes Usos'!C9</f>
        <v>-923.16413657004887</v>
      </c>
      <c r="J35" s="166">
        <f>+'Fuentes Usos'!D9</f>
        <v>-2409.5485360631865</v>
      </c>
    </row>
    <row r="36" spans="2:11" x14ac:dyDescent="0.3">
      <c r="B36" s="150" t="s">
        <v>45</v>
      </c>
      <c r="C36" s="51">
        <f>+ER!H12</f>
        <v>-42.385501413</v>
      </c>
      <c r="D36" s="51">
        <f>+ER!I12</f>
        <v>-44.384518435236295</v>
      </c>
      <c r="E36" s="257">
        <f>+ER!J12</f>
        <v>-46.73190736117796</v>
      </c>
      <c r="G36" s="218" t="s">
        <v>190</v>
      </c>
      <c r="H36" s="165">
        <f>+'Fuentes Usos'!B12</f>
        <v>-5039.9360770619969</v>
      </c>
      <c r="I36" s="165">
        <f>+'Fuentes Usos'!C12</f>
        <v>-141.17728634917876</v>
      </c>
      <c r="J36" s="166">
        <f>+'Fuentes Usos'!D12</f>
        <v>-5944.6212435459893</v>
      </c>
      <c r="K36" s="212"/>
    </row>
    <row r="37" spans="2:11" s="56" customFormat="1" ht="15" thickBot="1" x14ac:dyDescent="0.35">
      <c r="B37" s="160" t="s">
        <v>113</v>
      </c>
      <c r="C37" s="54">
        <f>+ER!H18</f>
        <v>-10606.526867168352</v>
      </c>
      <c r="D37" s="54">
        <f>+ER!I18</f>
        <v>-11098.393505338041</v>
      </c>
      <c r="E37" s="192">
        <f>+ER!J18</f>
        <v>-11702.279834623161</v>
      </c>
      <c r="G37" s="218" t="s">
        <v>191</v>
      </c>
      <c r="H37" s="165">
        <f>+'Fuentes Usos'!B29+'Fuentes Usos'!B30</f>
        <v>-8844.0971601846977</v>
      </c>
      <c r="I37" s="165">
        <f>+'Fuentes Usos'!C29+'Fuentes Usos'!C30</f>
        <v>17481.622418309533</v>
      </c>
      <c r="J37" s="166">
        <f>+'Fuentes Usos'!D29+'Fuentes Usos'!D30</f>
        <v>-465.53817641793285</v>
      </c>
    </row>
    <row r="38" spans="2:11" ht="15" thickBot="1" x14ac:dyDescent="0.35">
      <c r="B38" s="69" t="s">
        <v>114</v>
      </c>
      <c r="C38" s="55">
        <f>+SUM(C31:C37)</f>
        <v>12536.522967643727</v>
      </c>
      <c r="D38" s="55">
        <f>+SUM(D31:D37)</f>
        <v>46134.384023153281</v>
      </c>
      <c r="E38" s="55">
        <f>+SUM(E31:E37)</f>
        <v>22451.114899761782</v>
      </c>
      <c r="G38" s="69" t="s">
        <v>114</v>
      </c>
      <c r="H38" s="55">
        <f>+SUM(H31:H37)</f>
        <v>12536.522967643741</v>
      </c>
      <c r="I38" s="55">
        <f>+SUM(I31:I37)</f>
        <v>46134.384023153238</v>
      </c>
      <c r="J38" s="55">
        <f>+SUM(J31:J37)</f>
        <v>22451.114899761869</v>
      </c>
    </row>
    <row r="39" spans="2:11" ht="15" thickBot="1" x14ac:dyDescent="0.35"/>
    <row r="40" spans="2:11" x14ac:dyDescent="0.3">
      <c r="B40" s="161" t="s">
        <v>115</v>
      </c>
      <c r="C40" s="49">
        <f>+'Fuentes Usos'!B28+'Fuentes Usos'!B36+'Fuentes Usos'!B38</f>
        <v>0</v>
      </c>
      <c r="D40" s="49">
        <f>+'Fuentes Usos'!C28+'Fuentes Usos'!C36+'Fuentes Usos'!C38</f>
        <v>0</v>
      </c>
      <c r="E40" s="50">
        <f>+'Fuentes Usos'!D28+'Fuentes Usos'!D36+'Fuentes Usos'!D38</f>
        <v>0</v>
      </c>
    </row>
    <row r="41" spans="2:11" s="56" customFormat="1" x14ac:dyDescent="0.3">
      <c r="B41" s="171" t="s">
        <v>34</v>
      </c>
      <c r="C41" s="267">
        <f>+ER!H15</f>
        <v>-1623.4588941210402</v>
      </c>
      <c r="D41" s="267">
        <f>+ER!I15</f>
        <v>-1700.0256883327395</v>
      </c>
      <c r="E41" s="268">
        <f>+ER!J15</f>
        <v>-1789.9359006161408</v>
      </c>
      <c r="G41" s="72"/>
      <c r="H41" s="43"/>
      <c r="I41" s="43"/>
      <c r="J41" s="43"/>
    </row>
    <row r="42" spans="2:11" x14ac:dyDescent="0.3">
      <c r="B42" s="171" t="s">
        <v>33</v>
      </c>
      <c r="C42" s="267">
        <f>+ER!H14</f>
        <v>3062.3591337301109</v>
      </c>
      <c r="D42" s="267">
        <f>+ER!I14</f>
        <v>3129.0115843904682</v>
      </c>
      <c r="E42" s="268">
        <f>+ER!J14</f>
        <v>3302.9809886942303</v>
      </c>
      <c r="G42" s="72" t="s">
        <v>127</v>
      </c>
    </row>
    <row r="43" spans="2:11" x14ac:dyDescent="0.3">
      <c r="B43" s="160" t="s">
        <v>170</v>
      </c>
      <c r="C43" s="54">
        <f>'Fuentes Usos'!B33+'Fuentes Usos'!B37</f>
        <v>-2073.43961064</v>
      </c>
      <c r="D43" s="54">
        <f>'Fuentes Usos'!C33+'Fuentes Usos'!C37</f>
        <v>550.84024612733265</v>
      </c>
      <c r="E43" s="54">
        <f>'Fuentes Usos'!D33+'Fuentes Usos'!D37</f>
        <v>646.83605959281522</v>
      </c>
      <c r="G43" s="72"/>
    </row>
    <row r="44" spans="2:11" x14ac:dyDescent="0.3">
      <c r="B44" s="162" t="s">
        <v>5</v>
      </c>
      <c r="C44" s="52">
        <f>+'Fuentes Usos'!B10</f>
        <v>56056</v>
      </c>
      <c r="D44" s="52">
        <f>+'Fuentes Usos'!C10</f>
        <v>0</v>
      </c>
      <c r="E44" s="53">
        <f>+'Fuentes Usos'!D10</f>
        <v>0</v>
      </c>
      <c r="G44" s="72"/>
    </row>
    <row r="45" spans="2:11" x14ac:dyDescent="0.3">
      <c r="B45" s="162" t="s">
        <v>6</v>
      </c>
      <c r="C45" s="52">
        <f>+'Fuentes Usos'!B11</f>
        <v>2539.7295823800014</v>
      </c>
      <c r="D45" s="52">
        <f>+'Fuentes Usos'!C11</f>
        <v>-590.82058657205926</v>
      </c>
      <c r="E45" s="53">
        <f>+'Fuentes Usos'!D11</f>
        <v>-693.78383811164895</v>
      </c>
      <c r="G45" s="72"/>
    </row>
    <row r="46" spans="2:11" x14ac:dyDescent="0.3">
      <c r="B46" s="162" t="s">
        <v>56</v>
      </c>
      <c r="C46" s="52">
        <f>+'Fuentes Usos'!B21</f>
        <v>773</v>
      </c>
      <c r="D46" s="52">
        <f>+'Fuentes Usos'!C21</f>
        <v>0</v>
      </c>
      <c r="E46" s="53">
        <f>+'Fuentes Usos'!D21</f>
        <v>0</v>
      </c>
      <c r="G46" s="72"/>
      <c r="H46" s="56"/>
      <c r="I46" s="56"/>
      <c r="J46" s="56"/>
    </row>
    <row r="47" spans="2:11" x14ac:dyDescent="0.3">
      <c r="B47" s="181" t="s">
        <v>206</v>
      </c>
      <c r="C47" s="52">
        <f>+'Fuentes Usos'!B32</f>
        <v>0</v>
      </c>
      <c r="D47" s="52">
        <f>+'Fuentes Usos'!C32</f>
        <v>0</v>
      </c>
      <c r="E47" s="53">
        <f>+'Fuentes Usos'!D32</f>
        <v>0</v>
      </c>
      <c r="G47" s="72"/>
      <c r="H47" s="56"/>
      <c r="I47" s="56"/>
      <c r="J47" s="56"/>
    </row>
    <row r="48" spans="2:11" s="56" customFormat="1" x14ac:dyDescent="0.3">
      <c r="B48" s="162" t="s">
        <v>116</v>
      </c>
      <c r="C48" s="52">
        <f>-'Cambios Patrimonio'!H22</f>
        <v>-20988.068891261635</v>
      </c>
      <c r="D48" s="52">
        <f>-'Cambios Patrimonio'!I22</f>
        <v>-21961.368729795369</v>
      </c>
      <c r="E48" s="53">
        <f>-'Cambios Patrimonio'!J22</f>
        <v>-23156.331797372168</v>
      </c>
      <c r="G48" s="72"/>
      <c r="H48" s="182"/>
      <c r="I48" s="43"/>
      <c r="J48" s="43"/>
    </row>
    <row r="49" spans="2:10" s="56" customFormat="1" x14ac:dyDescent="0.3">
      <c r="B49" s="162" t="s">
        <v>117</v>
      </c>
      <c r="C49" s="52">
        <f>+'Fuentes Usos'!B45</f>
        <v>-0.3999999999996362</v>
      </c>
      <c r="D49" s="52">
        <f>+'Fuentes Usos'!C45</f>
        <v>0</v>
      </c>
      <c r="E49" s="53">
        <f>+'Fuentes Usos'!D45</f>
        <v>0</v>
      </c>
      <c r="G49" s="72"/>
      <c r="H49" s="43"/>
      <c r="I49" s="43"/>
      <c r="J49" s="43"/>
    </row>
    <row r="50" spans="2:10" ht="15" thickBot="1" x14ac:dyDescent="0.35">
      <c r="B50" s="162" t="s">
        <v>118</v>
      </c>
      <c r="C50" s="52">
        <f>+'Fuentes Usos'!B47</f>
        <v>0</v>
      </c>
      <c r="D50" s="52">
        <f>+'Fuentes Usos'!C47</f>
        <v>0</v>
      </c>
      <c r="E50" s="53">
        <f>+'Fuentes Usos'!D47</f>
        <v>0</v>
      </c>
      <c r="G50" s="72"/>
    </row>
    <row r="51" spans="2:10" ht="15" thickBot="1" x14ac:dyDescent="0.35">
      <c r="B51" s="69" t="s">
        <v>119</v>
      </c>
      <c r="C51" s="55">
        <f>+SUM(C40:C50)</f>
        <v>37745.721320087432</v>
      </c>
      <c r="D51" s="55">
        <f>+SUM(D40:D50)</f>
        <v>-20572.363174182366</v>
      </c>
      <c r="E51" s="55">
        <f>+SUM(E40:E50)</f>
        <v>-21690.234487812912</v>
      </c>
      <c r="G51" s="72"/>
    </row>
    <row r="52" spans="2:10" ht="15" thickBot="1" x14ac:dyDescent="0.35">
      <c r="B52" s="146"/>
      <c r="C52" s="57"/>
      <c r="D52" s="57"/>
      <c r="E52" s="57"/>
    </row>
    <row r="53" spans="2:10" x14ac:dyDescent="0.3">
      <c r="B53" s="161" t="s">
        <v>169</v>
      </c>
      <c r="C53" s="49">
        <f>-IME!H11</f>
        <v>-3861.7901287400005</v>
      </c>
      <c r="D53" s="49">
        <f>-IME!I11</f>
        <v>-4043.9227907659733</v>
      </c>
      <c r="E53" s="50">
        <f>-IME!J11</f>
        <v>-4257.7960040184362</v>
      </c>
    </row>
    <row r="54" spans="2:10" x14ac:dyDescent="0.3">
      <c r="B54" s="162" t="s">
        <v>256</v>
      </c>
      <c r="C54" s="52">
        <f>-IME!H32</f>
        <v>-256.75535952999962</v>
      </c>
      <c r="D54" s="52">
        <f>-IME!I32</f>
        <v>-3307.6387756579006</v>
      </c>
      <c r="E54" s="53">
        <f>-IME!J32</f>
        <v>-3396.2800711562686</v>
      </c>
    </row>
    <row r="55" spans="2:10" ht="15" thickBot="1" x14ac:dyDescent="0.35">
      <c r="B55" s="261" t="s">
        <v>207</v>
      </c>
      <c r="C55" s="262">
        <f>+IME!H12</f>
        <v>0</v>
      </c>
      <c r="D55" s="263">
        <f>+IME!I12</f>
        <v>0</v>
      </c>
      <c r="E55" s="264">
        <f>+IME!J12</f>
        <v>0</v>
      </c>
    </row>
    <row r="56" spans="2:10" ht="15" thickBot="1" x14ac:dyDescent="0.35">
      <c r="B56" s="69" t="s">
        <v>120</v>
      </c>
      <c r="C56" s="55">
        <f>+SUM(C53:C55)</f>
        <v>-4118.5454882699996</v>
      </c>
      <c r="D56" s="55">
        <f>+SUM(D53:D55)</f>
        <v>-7351.561566423874</v>
      </c>
      <c r="E56" s="55">
        <f>+SUM(E53:E55)</f>
        <v>-7654.0760751747048</v>
      </c>
    </row>
    <row r="57" spans="2:10" x14ac:dyDescent="0.3">
      <c r="B57" s="94"/>
      <c r="C57" s="95"/>
      <c r="D57" s="95"/>
      <c r="E57" s="95"/>
    </row>
    <row r="58" spans="2:10" ht="15" thickBot="1" x14ac:dyDescent="0.35">
      <c r="B58" s="146"/>
      <c r="C58" s="258">
        <f>C59-'Fuentes Usos'!B51</f>
        <v>0</v>
      </c>
      <c r="D58" s="258">
        <f>D59-'Fuentes Usos'!C51</f>
        <v>3.637978807091713E-11</v>
      </c>
      <c r="E58" s="258">
        <f>E59-'Fuentes Usos'!D51</f>
        <v>-8.8220986071974039E-11</v>
      </c>
    </row>
    <row r="59" spans="2:10" x14ac:dyDescent="0.3">
      <c r="B59" s="58" t="s">
        <v>121</v>
      </c>
      <c r="C59" s="59">
        <f>C38+C51+C56</f>
        <v>46163.698799461155</v>
      </c>
      <c r="D59" s="59">
        <f>D38+D51+D56</f>
        <v>18210.459282547039</v>
      </c>
      <c r="E59" s="60">
        <f>E38+E51+E56</f>
        <v>-6893.1956632258343</v>
      </c>
    </row>
    <row r="60" spans="2:10" x14ac:dyDescent="0.3">
      <c r="B60" s="61" t="s">
        <v>122</v>
      </c>
      <c r="C60" s="62">
        <f>+ESF!G8</f>
        <v>17790</v>
      </c>
      <c r="D60" s="62">
        <f>+ESF!H8</f>
        <v>63953.698799461185</v>
      </c>
      <c r="E60" s="63">
        <f>+ESF!I8</f>
        <v>82164.158082008173</v>
      </c>
    </row>
    <row r="61" spans="2:10" ht="15" thickBot="1" x14ac:dyDescent="0.35">
      <c r="B61" s="64" t="s">
        <v>123</v>
      </c>
      <c r="C61" s="65">
        <f>C59+C60</f>
        <v>63953.698799461155</v>
      </c>
      <c r="D61" s="65">
        <f>D59+D60</f>
        <v>82164.158082008216</v>
      </c>
      <c r="E61" s="66">
        <f>E59+E60</f>
        <v>75270.962418782336</v>
      </c>
      <c r="G61" s="183" t="s">
        <v>210</v>
      </c>
    </row>
    <row r="63" spans="2:10" x14ac:dyDescent="0.3">
      <c r="B63" s="156" t="s">
        <v>125</v>
      </c>
      <c r="C63" s="51">
        <f>+ESF!H8</f>
        <v>63953.698799461185</v>
      </c>
      <c r="D63" s="51">
        <f>+ESF!I8</f>
        <v>82164.158082008173</v>
      </c>
      <c r="E63" s="51">
        <f>+ESF!J8</f>
        <v>75270.962418782467</v>
      </c>
      <c r="G63" s="183" t="s">
        <v>209</v>
      </c>
    </row>
    <row r="65" spans="2:5" x14ac:dyDescent="0.3">
      <c r="B65" s="67" t="s">
        <v>124</v>
      </c>
      <c r="C65" s="68">
        <f>+C63-C61</f>
        <v>0</v>
      </c>
      <c r="D65" s="68">
        <f t="shared" ref="D65:E65" si="6">+D63-D61</f>
        <v>0</v>
      </c>
      <c r="E65" s="68">
        <f t="shared" si="6"/>
        <v>1.3096723705530167E-10</v>
      </c>
    </row>
    <row r="67" spans="2:5" x14ac:dyDescent="0.3">
      <c r="C67" s="258">
        <f>+C59-'Fuentes Usos'!B51</f>
        <v>0</v>
      </c>
      <c r="D67" s="258">
        <f>+D59-'Fuentes Usos'!C51</f>
        <v>3.637978807091713E-11</v>
      </c>
      <c r="E67" s="258">
        <f>+E59-'Fuentes Usos'!D51</f>
        <v>-8.8220986071974039E-11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670D-249B-46BA-94F3-25846972C030}">
  <sheetPr>
    <tabColor theme="7" tint="0.79998168889431442"/>
  </sheetPr>
  <dimension ref="B4:O35"/>
  <sheetViews>
    <sheetView showGridLines="0" zoomScaleNormal="100" workbookViewId="0">
      <pane ySplit="3" topLeftCell="A4" activePane="bottomLeft" state="frozen"/>
      <selection pane="bottomLeft" activeCell="B1" sqref="B1"/>
    </sheetView>
  </sheetViews>
  <sheetFormatPr baseColWidth="10" defaultRowHeight="14.4" x14ac:dyDescent="0.3"/>
  <cols>
    <col min="1" max="1" width="5.77734375" customWidth="1"/>
    <col min="2" max="2" width="28.6640625" bestFit="1" customWidth="1"/>
    <col min="3" max="7" width="11.44140625" customWidth="1"/>
    <col min="13" max="13" width="28.6640625" bestFit="1" customWidth="1"/>
  </cols>
  <sheetData>
    <row r="4" spans="2:15" x14ac:dyDescent="0.3">
      <c r="B4" s="7" t="s">
        <v>0</v>
      </c>
      <c r="C4" s="7">
        <v>2019</v>
      </c>
      <c r="D4" s="7">
        <v>2020</v>
      </c>
      <c r="E4" s="7">
        <v>2021</v>
      </c>
      <c r="F4" s="7">
        <v>2022</v>
      </c>
      <c r="G4" s="7">
        <v>2023</v>
      </c>
      <c r="H4" s="7">
        <v>2024</v>
      </c>
      <c r="I4" s="13">
        <v>2025</v>
      </c>
      <c r="J4" s="13">
        <v>2026</v>
      </c>
      <c r="K4" s="13">
        <v>2027</v>
      </c>
      <c r="N4" s="253" t="s">
        <v>252</v>
      </c>
      <c r="O4" s="253" t="s">
        <v>253</v>
      </c>
    </row>
    <row r="5" spans="2:15" x14ac:dyDescent="0.3">
      <c r="B5" s="21" t="s">
        <v>166</v>
      </c>
      <c r="C5" s="32">
        <v>152725</v>
      </c>
      <c r="D5" s="32">
        <v>114909</v>
      </c>
      <c r="E5" s="32">
        <v>181168</v>
      </c>
      <c r="F5" s="32">
        <v>191314</v>
      </c>
      <c r="G5" s="32">
        <v>183404</v>
      </c>
      <c r="H5" s="32">
        <v>195487</v>
      </c>
      <c r="I5" s="32">
        <f>+H5*(1+Supuestos!$C5)</f>
        <v>197598.25959999999</v>
      </c>
      <c r="J5" s="32">
        <f>+I5*(1+Supuestos!$C5)</f>
        <v>199732.32080367996</v>
      </c>
      <c r="K5" s="32">
        <f>+J5*(1+Supuestos!$C5)</f>
        <v>201889.4298683597</v>
      </c>
      <c r="M5" t="s">
        <v>166</v>
      </c>
      <c r="N5" s="176">
        <f>+POWER(H5/C5,1/5)-1</f>
        <v>5.0610046899345118E-2</v>
      </c>
      <c r="O5" s="176">
        <f>+POWER(H5/F5,1/2)-1</f>
        <v>1.0847322082219835E-2</v>
      </c>
    </row>
    <row r="6" spans="2:15" x14ac:dyDescent="0.3">
      <c r="B6" s="21" t="s">
        <v>167</v>
      </c>
      <c r="C6" s="32">
        <v>26659</v>
      </c>
      <c r="D6" s="32">
        <v>46258</v>
      </c>
      <c r="E6" s="32">
        <v>101372</v>
      </c>
      <c r="F6" s="32">
        <v>96925</v>
      </c>
      <c r="G6" s="32">
        <v>72237</v>
      </c>
      <c r="H6" s="32">
        <v>82734</v>
      </c>
      <c r="I6" s="32">
        <f>+H6*(1+Supuestos!$C6)</f>
        <v>76437.942599999995</v>
      </c>
      <c r="J6" s="32">
        <f>+I6*(1+Supuestos!$C6)</f>
        <v>70621.015168139988</v>
      </c>
      <c r="K6" s="32">
        <f>+J6*(1+Supuestos!$C6)</f>
        <v>65246.755913844529</v>
      </c>
      <c r="M6" t="s">
        <v>167</v>
      </c>
      <c r="N6" s="176">
        <f>+POWER(H6/C6,1/5)-1</f>
        <v>0.25420357241419089</v>
      </c>
      <c r="O6" s="176">
        <f>+POWER(H6/F6,1/2)-1</f>
        <v>-7.6101831564549416E-2</v>
      </c>
    </row>
    <row r="7" spans="2:15" x14ac:dyDescent="0.3">
      <c r="B7" s="21" t="s">
        <v>168</v>
      </c>
      <c r="C7" s="32">
        <v>20235</v>
      </c>
      <c r="D7" s="32">
        <v>26154</v>
      </c>
      <c r="E7" s="32">
        <v>47671</v>
      </c>
      <c r="F7" s="32">
        <v>135919</v>
      </c>
      <c r="G7" s="32">
        <v>145020</v>
      </c>
      <c r="H7" s="32">
        <v>174029</v>
      </c>
      <c r="I7" s="32">
        <f>+H7*(1+Supuestos!$C7)</f>
        <v>196913.81349999999</v>
      </c>
      <c r="J7" s="32">
        <f>+I7*(1+Supuestos!$C7)</f>
        <v>222807.97997524997</v>
      </c>
      <c r="K7" s="32">
        <f>+J7*(1+Supuestos!$C7)</f>
        <v>252107.22934199532</v>
      </c>
      <c r="M7" t="s">
        <v>168</v>
      </c>
      <c r="N7" s="176">
        <f>+POWER(H7/C7,1/5)-1</f>
        <v>0.53781354979581786</v>
      </c>
      <c r="O7" s="176">
        <f>+POWER(H7/F7,1/2)-1</f>
        <v>0.13154212638395246</v>
      </c>
    </row>
    <row r="8" spans="2:15" x14ac:dyDescent="0.3">
      <c r="B8" s="21" t="s">
        <v>43</v>
      </c>
      <c r="C8" s="32">
        <f t="shared" ref="C8:I8" si="0">+SUM(C5:C7)</f>
        <v>199619</v>
      </c>
      <c r="D8" s="32">
        <f t="shared" si="0"/>
        <v>187321</v>
      </c>
      <c r="E8" s="32">
        <f t="shared" si="0"/>
        <v>330211</v>
      </c>
      <c r="F8" s="32">
        <f t="shared" ref="F8:G8" si="1">+SUM(F5:F7)</f>
        <v>424158</v>
      </c>
      <c r="G8" s="32">
        <f t="shared" si="1"/>
        <v>400661</v>
      </c>
      <c r="H8" s="32">
        <f t="shared" si="0"/>
        <v>452250</v>
      </c>
      <c r="I8" s="32">
        <f t="shared" si="0"/>
        <v>470950.01569999999</v>
      </c>
      <c r="J8" s="32">
        <f t="shared" ref="J8:K8" si="2">+SUM(J5:J7)</f>
        <v>493161.3159470699</v>
      </c>
      <c r="K8" s="32">
        <f t="shared" si="2"/>
        <v>519243.41512419953</v>
      </c>
      <c r="M8" t="s">
        <v>43</v>
      </c>
      <c r="N8" s="176">
        <f>+POWER(H8/C8,1/5)-1</f>
        <v>0.17770180311207984</v>
      </c>
      <c r="O8" s="176">
        <f>+POWER(H8/F8,1/2)-1</f>
        <v>3.2584154885307193E-2</v>
      </c>
    </row>
    <row r="9" spans="2:15" x14ac:dyDescent="0.3">
      <c r="D9" s="23"/>
      <c r="E9" s="23"/>
      <c r="F9" s="23"/>
      <c r="G9" s="23"/>
      <c r="H9" s="23"/>
      <c r="I9" s="23"/>
      <c r="J9" s="23"/>
      <c r="K9" s="23"/>
    </row>
    <row r="10" spans="2:15" x14ac:dyDescent="0.3">
      <c r="B10" s="21" t="s">
        <v>166</v>
      </c>
      <c r="D10" s="252">
        <f>D5/C5-1</f>
        <v>-0.24760844655426417</v>
      </c>
      <c r="E10" s="252">
        <f t="shared" ref="E10:H10" si="3">E5/D5-1</f>
        <v>0.57662150049169347</v>
      </c>
      <c r="F10" s="252">
        <f t="shared" si="3"/>
        <v>5.6003267685242442E-2</v>
      </c>
      <c r="G10" s="252">
        <f t="shared" si="3"/>
        <v>-4.1345641197194194E-2</v>
      </c>
      <c r="H10" s="252">
        <f t="shared" si="3"/>
        <v>6.5881878257835202E-2</v>
      </c>
    </row>
    <row r="11" spans="2:15" x14ac:dyDescent="0.3">
      <c r="B11" s="21" t="s">
        <v>167</v>
      </c>
      <c r="D11" s="252">
        <f t="shared" ref="D11:H11" si="4">D6/C6-1</f>
        <v>0.73517386248546468</v>
      </c>
      <c r="E11" s="252">
        <f t="shared" si="4"/>
        <v>1.1914479657572743</v>
      </c>
      <c r="F11" s="252">
        <f t="shared" si="4"/>
        <v>-4.3868129266464106E-2</v>
      </c>
      <c r="G11" s="252">
        <f t="shared" si="4"/>
        <v>-0.25471240649987104</v>
      </c>
      <c r="H11" s="252">
        <f t="shared" si="4"/>
        <v>0.14531334357739101</v>
      </c>
    </row>
    <row r="12" spans="2:15" x14ac:dyDescent="0.3">
      <c r="B12" s="21" t="s">
        <v>168</v>
      </c>
      <c r="D12" s="252">
        <f t="shared" ref="D12:H12" si="5">D7/C7-1</f>
        <v>0.29251297257227571</v>
      </c>
      <c r="E12" s="252">
        <f t="shared" si="5"/>
        <v>0.82270398409421119</v>
      </c>
      <c r="F12" s="252">
        <f t="shared" si="5"/>
        <v>1.8511883535063247</v>
      </c>
      <c r="G12" s="252">
        <f t="shared" si="5"/>
        <v>6.6958997638299378E-2</v>
      </c>
      <c r="H12" s="252">
        <f t="shared" si="5"/>
        <v>0.20003447800303409</v>
      </c>
    </row>
    <row r="13" spans="2:15" x14ac:dyDescent="0.3">
      <c r="B13" s="21" t="s">
        <v>43</v>
      </c>
      <c r="D13" s="252">
        <f t="shared" ref="D13:H13" si="6">D8/C8-1</f>
        <v>-6.1607362024656998E-2</v>
      </c>
      <c r="E13" s="252">
        <f t="shared" si="6"/>
        <v>0.76280822758793732</v>
      </c>
      <c r="F13" s="252">
        <f t="shared" si="6"/>
        <v>0.28450596739660394</v>
      </c>
      <c r="G13" s="252">
        <f t="shared" si="6"/>
        <v>-5.5396809679411962E-2</v>
      </c>
      <c r="H13" s="252">
        <f t="shared" si="6"/>
        <v>0.12875972455517259</v>
      </c>
    </row>
    <row r="34" spans="3:8" x14ac:dyDescent="0.3">
      <c r="C34" s="16"/>
      <c r="D34" s="16"/>
      <c r="E34" s="16"/>
      <c r="F34" s="16"/>
      <c r="G34" s="16"/>
      <c r="H34" s="16"/>
    </row>
    <row r="35" spans="3:8" x14ac:dyDescent="0.3">
      <c r="C35" s="16"/>
      <c r="D35" s="16"/>
      <c r="E35" s="16"/>
      <c r="F35" s="16"/>
      <c r="G35" s="16"/>
      <c r="H35" s="1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7220-1C30-4798-8DB4-ACB20F8317C9}">
  <sheetPr>
    <tabColor theme="7" tint="0.79998168889431442"/>
  </sheetPr>
  <dimension ref="B2:K16"/>
  <sheetViews>
    <sheetView showGridLines="0" zoomScaleNormal="100" workbookViewId="0">
      <pane ySplit="3" topLeftCell="A4" activePane="bottomLeft" state="frozen"/>
      <selection pane="bottomLeft" activeCell="B1" sqref="B1"/>
    </sheetView>
  </sheetViews>
  <sheetFormatPr baseColWidth="10" defaultRowHeight="14.4" x14ac:dyDescent="0.3"/>
  <cols>
    <col min="2" max="2" width="28.6640625" bestFit="1" customWidth="1"/>
  </cols>
  <sheetData>
    <row r="2" spans="2:11" x14ac:dyDescent="0.3">
      <c r="D2" s="211"/>
    </row>
    <row r="4" spans="2:11" x14ac:dyDescent="0.3">
      <c r="B4" s="7" t="s">
        <v>0</v>
      </c>
      <c r="C4" s="7">
        <v>2019</v>
      </c>
      <c r="D4" s="7">
        <v>2020</v>
      </c>
      <c r="E4" s="7">
        <v>2021</v>
      </c>
      <c r="F4" s="7">
        <v>2022</v>
      </c>
      <c r="G4" s="7">
        <v>2023</v>
      </c>
      <c r="H4" s="7">
        <v>2024</v>
      </c>
      <c r="I4" s="13">
        <v>2025</v>
      </c>
      <c r="J4" s="13">
        <v>2026</v>
      </c>
      <c r="K4" s="13">
        <v>2027</v>
      </c>
    </row>
    <row r="5" spans="2:11" x14ac:dyDescent="0.3">
      <c r="B5" s="21" t="str">
        <f>+ER!A6</f>
        <v>Ingresos de actividades ordinarias</v>
      </c>
      <c r="C5" s="32">
        <f>+ER!B6</f>
        <v>199619</v>
      </c>
      <c r="D5" s="32">
        <f>+ER!C6</f>
        <v>187321</v>
      </c>
      <c r="E5" s="32">
        <f>+ER!D6</f>
        <v>330211</v>
      </c>
      <c r="F5" s="32">
        <f>+ER!E6</f>
        <v>424158</v>
      </c>
      <c r="G5" s="32">
        <f>+ER!F6</f>
        <v>400661</v>
      </c>
      <c r="H5" s="32">
        <f>+ER!G6</f>
        <v>452250</v>
      </c>
      <c r="I5" s="32">
        <f>+ER!H6</f>
        <v>470950.01569999999</v>
      </c>
      <c r="J5" s="32">
        <f>+ER!I6</f>
        <v>493161.3159470699</v>
      </c>
      <c r="K5" s="32">
        <f>+ER!J6</f>
        <v>519243.41512419953</v>
      </c>
    </row>
    <row r="7" spans="2:11" x14ac:dyDescent="0.3">
      <c r="B7" s="7" t="s">
        <v>0</v>
      </c>
      <c r="C7" s="7">
        <v>2019</v>
      </c>
      <c r="D7" s="7">
        <v>2020</v>
      </c>
      <c r="E7" s="7">
        <v>2021</v>
      </c>
      <c r="F7" s="7">
        <v>2022</v>
      </c>
      <c r="G7" s="7">
        <v>2023</v>
      </c>
      <c r="H7" s="7">
        <v>2024</v>
      </c>
      <c r="I7" s="13">
        <v>2025</v>
      </c>
      <c r="J7" s="13">
        <v>2026</v>
      </c>
      <c r="K7" s="13">
        <v>2027</v>
      </c>
    </row>
    <row r="8" spans="2:11" x14ac:dyDescent="0.3">
      <c r="B8" s="21" t="str">
        <f>+ER!A7</f>
        <v>Costo de Ventas</v>
      </c>
      <c r="C8" s="32">
        <f>-ER!B7</f>
        <v>166246</v>
      </c>
      <c r="D8" s="32">
        <f>-ER!C7</f>
        <v>161990</v>
      </c>
      <c r="E8" s="32">
        <f>-ER!D7</f>
        <v>290126</v>
      </c>
      <c r="F8" s="32">
        <f>-ER!E7</f>
        <v>373656</v>
      </c>
      <c r="G8" s="32">
        <f>-ER!F7</f>
        <v>355059</v>
      </c>
      <c r="H8" s="32">
        <f>-ER!G7</f>
        <v>405000</v>
      </c>
      <c r="I8" s="32">
        <f>+I11+I15</f>
        <v>412004.76028898248</v>
      </c>
      <c r="J8" s="32">
        <f t="shared" ref="J8:K8" si="0">+J11+J15</f>
        <v>431433.93540177442</v>
      </c>
      <c r="K8" s="32">
        <f t="shared" si="0"/>
        <v>454255.67988888122</v>
      </c>
    </row>
    <row r="9" spans="2:11" x14ac:dyDescent="0.3">
      <c r="C9" s="23">
        <f>+C8/C5</f>
        <v>0.83281651546195501</v>
      </c>
      <c r="D9" s="23">
        <f t="shared" ref="D9:H9" si="1">+D8/D5</f>
        <v>0.864772235894534</v>
      </c>
      <c r="E9" s="23">
        <f t="shared" si="1"/>
        <v>0.87860792039029589</v>
      </c>
      <c r="F9" s="23">
        <f t="shared" ref="F9" si="2">+F8/F5</f>
        <v>0.88093587766822745</v>
      </c>
      <c r="G9" s="23">
        <f t="shared" si="1"/>
        <v>0.88618308245624111</v>
      </c>
      <c r="H9" s="23">
        <f t="shared" si="1"/>
        <v>0.89552238805970152</v>
      </c>
      <c r="I9" s="23"/>
      <c r="J9" s="23"/>
      <c r="K9" s="23"/>
    </row>
    <row r="10" spans="2:11" x14ac:dyDescent="0.3">
      <c r="B10" s="7" t="s">
        <v>0</v>
      </c>
      <c r="C10" s="7">
        <v>2019</v>
      </c>
      <c r="D10" s="7">
        <v>2020</v>
      </c>
      <c r="E10" s="7">
        <v>2021</v>
      </c>
      <c r="F10" s="7">
        <v>2022</v>
      </c>
      <c r="G10" s="7">
        <v>2023</v>
      </c>
      <c r="H10" s="7">
        <v>2024</v>
      </c>
      <c r="I10" s="13">
        <v>2025</v>
      </c>
      <c r="J10" s="13">
        <v>2026</v>
      </c>
      <c r="K10" s="13">
        <v>2027</v>
      </c>
    </row>
    <row r="11" spans="2:11" x14ac:dyDescent="0.3">
      <c r="B11" s="21" t="s">
        <v>163</v>
      </c>
      <c r="C11" s="32">
        <f>+'Gasto de Personal'!B20</f>
        <v>9502</v>
      </c>
      <c r="D11" s="32">
        <f>+'Gasto de Personal'!C20</f>
        <v>6800</v>
      </c>
      <c r="E11" s="32">
        <f>+'Gasto de Personal'!D20</f>
        <v>8184</v>
      </c>
      <c r="F11" s="32">
        <f>+'Gasto de Personal'!E20</f>
        <v>9878</v>
      </c>
      <c r="G11" s="32">
        <f>+'Gasto de Personal'!F20</f>
        <v>9835</v>
      </c>
      <c r="H11" s="32">
        <f>+'Gasto de Personal'!G20</f>
        <v>10108</v>
      </c>
      <c r="I11" s="145">
        <f>+'Gasto de Personal'!H20</f>
        <v>11085.011923572514</v>
      </c>
      <c r="J11" s="145">
        <f>+'Gasto de Personal'!I20</f>
        <v>11605.707136033854</v>
      </c>
      <c r="K11" s="145">
        <f>+'Gasto de Personal'!J20</f>
        <v>12223.760593650164</v>
      </c>
    </row>
    <row r="12" spans="2:11" x14ac:dyDescent="0.3">
      <c r="C12" s="98">
        <f t="shared" ref="C12:K12" si="3">+C11/C5</f>
        <v>4.7600679294055176E-2</v>
      </c>
      <c r="D12" s="98">
        <f t="shared" si="3"/>
        <v>3.6301322329050131E-2</v>
      </c>
      <c r="E12" s="98">
        <f t="shared" si="3"/>
        <v>2.4784153162674776E-2</v>
      </c>
      <c r="F12" s="98">
        <f t="shared" ref="F12" si="4">+F11/F5</f>
        <v>2.3288491552676125E-2</v>
      </c>
      <c r="G12" s="98">
        <f t="shared" si="3"/>
        <v>2.4546936187949415E-2</v>
      </c>
      <c r="H12" s="98">
        <f t="shared" si="3"/>
        <v>2.2350469872857933E-2</v>
      </c>
      <c r="I12" s="98">
        <f t="shared" si="3"/>
        <v>2.3537555056869944E-2</v>
      </c>
      <c r="J12" s="98">
        <f t="shared" si="3"/>
        <v>2.3533287710829843E-2</v>
      </c>
      <c r="K12" s="98">
        <f t="shared" si="3"/>
        <v>2.3541484085506069E-2</v>
      </c>
    </row>
    <row r="14" spans="2:11" x14ac:dyDescent="0.3">
      <c r="B14" s="7" t="s">
        <v>0</v>
      </c>
      <c r="C14" s="7">
        <v>2019</v>
      </c>
      <c r="D14" s="7">
        <v>2020</v>
      </c>
      <c r="E14" s="7">
        <v>2021</v>
      </c>
      <c r="F14" s="7">
        <v>2022</v>
      </c>
      <c r="G14" s="7">
        <v>2023</v>
      </c>
      <c r="H14" s="7">
        <v>2024</v>
      </c>
      <c r="I14" s="13">
        <v>2025</v>
      </c>
      <c r="J14" s="13">
        <v>2026</v>
      </c>
      <c r="K14" s="13">
        <v>2027</v>
      </c>
    </row>
    <row r="15" spans="2:11" x14ac:dyDescent="0.3">
      <c r="B15" s="21" t="s">
        <v>171</v>
      </c>
      <c r="C15" s="191">
        <f t="shared" ref="C15:H15" si="5">+C8-C11</f>
        <v>156744</v>
      </c>
      <c r="D15" s="191">
        <f t="shared" si="5"/>
        <v>155190</v>
      </c>
      <c r="E15" s="191">
        <f t="shared" si="5"/>
        <v>281942</v>
      </c>
      <c r="F15" s="191">
        <f t="shared" si="5"/>
        <v>363778</v>
      </c>
      <c r="G15" s="191">
        <f t="shared" si="5"/>
        <v>345224</v>
      </c>
      <c r="H15" s="191">
        <f t="shared" si="5"/>
        <v>394892</v>
      </c>
      <c r="I15" s="32">
        <f>+I5*Supuestos!$C$10</f>
        <v>400919.74836540996</v>
      </c>
      <c r="J15" s="32">
        <f>+J5*Supuestos!$C$10</f>
        <v>419828.22826574056</v>
      </c>
      <c r="K15" s="32">
        <f>+K5*Supuestos!$C$10</f>
        <v>442031.91929523106</v>
      </c>
    </row>
    <row r="16" spans="2:11" x14ac:dyDescent="0.3">
      <c r="C16" s="23">
        <f>+C15/C5</f>
        <v>0.78521583616789981</v>
      </c>
      <c r="D16" s="23">
        <f t="shared" ref="D16:H16" si="6">+D15/D5</f>
        <v>0.82847091356548386</v>
      </c>
      <c r="E16" s="23">
        <f t="shared" si="6"/>
        <v>0.8538237672276211</v>
      </c>
      <c r="F16" s="23">
        <f t="shared" ref="F16" si="7">+F15/F5</f>
        <v>0.85764738611555125</v>
      </c>
      <c r="G16" s="23">
        <f t="shared" si="6"/>
        <v>0.86163614626829166</v>
      </c>
      <c r="H16" s="23">
        <f t="shared" si="6"/>
        <v>0.87317191818684359</v>
      </c>
      <c r="I16" s="23"/>
      <c r="J16" s="23"/>
      <c r="K16" s="2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5D08-8397-4A05-B05E-B38E3DA257BD}">
  <sheetPr>
    <tabColor theme="7" tint="0.79998168889431442"/>
  </sheetPr>
  <dimension ref="A1:K40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RowHeight="14.4" x14ac:dyDescent="0.3"/>
  <cols>
    <col min="1" max="1" width="34.21875" style="99" customWidth="1"/>
    <col min="2" max="7" width="11.5546875" style="99"/>
    <col min="8" max="10" width="13.33203125" style="99" bestFit="1" customWidth="1"/>
    <col min="11" max="16384" width="11.5546875" style="99"/>
  </cols>
  <sheetData>
    <row r="1" spans="1:10" x14ac:dyDescent="0.3"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101"/>
      <c r="C2" s="101"/>
      <c r="D2" s="101"/>
      <c r="E2" s="101"/>
      <c r="F2" s="101"/>
      <c r="G2" s="101"/>
      <c r="H2" s="101"/>
      <c r="I2" s="101"/>
      <c r="J2" s="101"/>
    </row>
    <row r="3" spans="1:10" x14ac:dyDescent="0.3">
      <c r="B3" s="115"/>
      <c r="C3" s="115"/>
      <c r="D3" s="115"/>
      <c r="E3" s="115"/>
      <c r="F3" s="115"/>
      <c r="G3" s="115"/>
    </row>
    <row r="4" spans="1:10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99" t="s">
        <v>59</v>
      </c>
      <c r="B5" s="116">
        <f>+ER!B6</f>
        <v>199619</v>
      </c>
      <c r="C5" s="116">
        <f>+ER!C6</f>
        <v>187321</v>
      </c>
      <c r="D5" s="116">
        <f>+ER!D6</f>
        <v>330211</v>
      </c>
      <c r="E5" s="116">
        <f>+ER!E6</f>
        <v>424158</v>
      </c>
      <c r="F5" s="116">
        <f>+ER!F6</f>
        <v>400661</v>
      </c>
      <c r="G5" s="116">
        <f>+ER!G6</f>
        <v>452250</v>
      </c>
      <c r="H5" s="116">
        <f>+ER!H6</f>
        <v>470950.01569999999</v>
      </c>
      <c r="I5" s="116">
        <f>+ER!I6</f>
        <v>493161.3159470699</v>
      </c>
      <c r="J5" s="116">
        <f>+ER!J6</f>
        <v>519243.41512419953</v>
      </c>
    </row>
    <row r="6" spans="1:10" x14ac:dyDescent="0.3">
      <c r="B6" s="117"/>
      <c r="C6" s="117"/>
      <c r="D6" s="117"/>
      <c r="E6" s="117"/>
      <c r="F6" s="117"/>
      <c r="G6" s="117"/>
    </row>
    <row r="7" spans="1:10" x14ac:dyDescent="0.3">
      <c r="A7" s="7" t="s">
        <v>0</v>
      </c>
      <c r="B7" s="7">
        <v>2019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13">
        <v>2025</v>
      </c>
      <c r="I7" s="13">
        <v>2026</v>
      </c>
      <c r="J7" s="13">
        <v>2027</v>
      </c>
    </row>
    <row r="8" spans="1:10" x14ac:dyDescent="0.3">
      <c r="A8" s="118" t="s">
        <v>137</v>
      </c>
      <c r="B8" s="119">
        <v>6557</v>
      </c>
      <c r="C8" s="119">
        <v>5223</v>
      </c>
      <c r="D8" s="119">
        <v>5213</v>
      </c>
      <c r="E8" s="119">
        <v>6194</v>
      </c>
      <c r="F8" s="219">
        <v>6248</v>
      </c>
      <c r="G8" s="219">
        <v>6314</v>
      </c>
      <c r="H8" s="119">
        <f>+H5*Supuestos!$C$14</f>
        <v>6593.3002198000004</v>
      </c>
      <c r="I8" s="119">
        <f>+I5*Supuestos!$C$14</f>
        <v>6904.2584232589788</v>
      </c>
      <c r="J8" s="119">
        <f>+J5*Supuestos!$C$14</f>
        <v>7269.4078117387935</v>
      </c>
    </row>
    <row r="9" spans="1:10" x14ac:dyDescent="0.3">
      <c r="A9" s="120" t="s">
        <v>138</v>
      </c>
      <c r="B9" s="204">
        <v>2176</v>
      </c>
      <c r="C9" s="204">
        <v>1483</v>
      </c>
      <c r="D9" s="204">
        <v>2757</v>
      </c>
      <c r="E9" s="204">
        <v>3471</v>
      </c>
      <c r="F9" s="204">
        <v>3110</v>
      </c>
      <c r="G9" s="204">
        <v>3191</v>
      </c>
      <c r="H9" s="121">
        <f>-'IR PT'!H18</f>
        <v>4157.0208543485069</v>
      </c>
      <c r="I9" s="121">
        <f>-'IR PT'!I18</f>
        <v>4349.7983674813786</v>
      </c>
      <c r="J9" s="121">
        <f>-'IR PT'!J18</f>
        <v>4586.4798086291748</v>
      </c>
    </row>
    <row r="10" spans="1:10" x14ac:dyDescent="0.3">
      <c r="A10" s="120" t="s">
        <v>139</v>
      </c>
      <c r="B10" s="121">
        <v>1466</v>
      </c>
      <c r="C10" s="121">
        <v>1010</v>
      </c>
      <c r="D10" s="121">
        <v>1117</v>
      </c>
      <c r="E10" s="121">
        <v>1246</v>
      </c>
      <c r="F10" s="204">
        <v>1363</v>
      </c>
      <c r="G10" s="204">
        <v>1375</v>
      </c>
      <c r="H10" s="121">
        <f>+H$8*Supuestos!$C16</f>
        <v>1436.02078787244</v>
      </c>
      <c r="I10" s="121">
        <f>+I$8*Supuestos!$C16</f>
        <v>1503.7474845858055</v>
      </c>
      <c r="J10" s="121">
        <f>+J$8*Supuestos!$C16</f>
        <v>1583.2770213967092</v>
      </c>
    </row>
    <row r="11" spans="1:10" x14ac:dyDescent="0.3">
      <c r="A11" s="120" t="s">
        <v>140</v>
      </c>
      <c r="B11" s="121">
        <v>795</v>
      </c>
      <c r="C11" s="121">
        <v>661</v>
      </c>
      <c r="D11" s="121">
        <v>624</v>
      </c>
      <c r="E11" s="121">
        <v>680</v>
      </c>
      <c r="F11" s="204">
        <v>787</v>
      </c>
      <c r="G11" s="204">
        <v>761</v>
      </c>
      <c r="H11" s="121">
        <f>+H$8*Supuestos!$C17</f>
        <v>794.49267648590001</v>
      </c>
      <c r="I11" s="121">
        <f>+I$8*Supuestos!$C17</f>
        <v>831.96314000270695</v>
      </c>
      <c r="J11" s="121">
        <f>+J$8*Supuestos!$C17</f>
        <v>875.96364131452458</v>
      </c>
    </row>
    <row r="12" spans="1:10" x14ac:dyDescent="0.3">
      <c r="A12" s="120" t="s">
        <v>141</v>
      </c>
      <c r="B12" s="121">
        <v>680</v>
      </c>
      <c r="C12" s="121">
        <v>599</v>
      </c>
      <c r="D12" s="121">
        <v>557</v>
      </c>
      <c r="E12" s="121">
        <v>554</v>
      </c>
      <c r="F12" s="204">
        <v>607</v>
      </c>
      <c r="G12" s="204">
        <v>593</v>
      </c>
      <c r="H12" s="121">
        <f>+H$8*Supuestos!$C18</f>
        <v>619.11089063921997</v>
      </c>
      <c r="I12" s="121">
        <f>+I$8*Supuestos!$C18</f>
        <v>648.30986594401804</v>
      </c>
      <c r="J12" s="121">
        <f>+J$8*Supuestos!$C18</f>
        <v>682.59739352227268</v>
      </c>
    </row>
    <row r="13" spans="1:10" x14ac:dyDescent="0.3">
      <c r="A13" s="120" t="s">
        <v>142</v>
      </c>
      <c r="B13" s="121">
        <v>702</v>
      </c>
      <c r="C13" s="121">
        <v>564</v>
      </c>
      <c r="D13" s="121">
        <v>504</v>
      </c>
      <c r="E13" s="121">
        <v>618</v>
      </c>
      <c r="F13" s="204">
        <v>594</v>
      </c>
      <c r="G13" s="204">
        <v>683</v>
      </c>
      <c r="H13" s="121">
        <f>+H$8*Supuestos!$C19</f>
        <v>713.39508378236008</v>
      </c>
      <c r="I13" s="121">
        <f>+I$8*Supuestos!$C19</f>
        <v>747.04076139662152</v>
      </c>
      <c r="J13" s="121">
        <f>+J$8*Supuestos!$C19</f>
        <v>786.54992523013743</v>
      </c>
    </row>
    <row r="14" spans="1:10" x14ac:dyDescent="0.3">
      <c r="A14" s="122" t="s">
        <v>143</v>
      </c>
      <c r="B14" s="123">
        <v>3205</v>
      </c>
      <c r="C14" s="123">
        <v>2860</v>
      </c>
      <c r="D14" s="123">
        <v>2003</v>
      </c>
      <c r="E14" s="123">
        <v>2561</v>
      </c>
      <c r="F14" s="220">
        <v>2702</v>
      </c>
      <c r="G14" s="220">
        <v>2833</v>
      </c>
      <c r="H14" s="121">
        <f>+H$8*Supuestos!$C20</f>
        <v>2958.4138086242601</v>
      </c>
      <c r="I14" s="121">
        <f>+I$8*Supuestos!$C20</f>
        <v>3097.9407545163035</v>
      </c>
      <c r="J14" s="121">
        <f>+J$8*Supuestos!$C20</f>
        <v>3261.7832851271965</v>
      </c>
    </row>
    <row r="15" spans="1:10" x14ac:dyDescent="0.3">
      <c r="B15" s="62">
        <f t="shared" ref="B15:C15" si="0">+SUM(B8:B14)</f>
        <v>15581</v>
      </c>
      <c r="C15" s="62">
        <f t="shared" si="0"/>
        <v>12400</v>
      </c>
      <c r="D15" s="62">
        <f>+SUM(D8:D14)</f>
        <v>12775</v>
      </c>
      <c r="E15" s="62">
        <f>+SUM(E8:E14)</f>
        <v>15324</v>
      </c>
      <c r="F15" s="221">
        <f>+SUM(F8:F14)</f>
        <v>15411</v>
      </c>
      <c r="G15" s="221">
        <f>+SUM(G8:G14)</f>
        <v>15750</v>
      </c>
      <c r="H15" s="62">
        <f t="shared" ref="H15:J15" si="1">+SUM(H8:H14)</f>
        <v>17271.754321552686</v>
      </c>
      <c r="I15" s="62">
        <f t="shared" si="1"/>
        <v>18083.058797185811</v>
      </c>
      <c r="J15" s="62">
        <f t="shared" si="1"/>
        <v>19046.05888695881</v>
      </c>
    </row>
    <row r="16" spans="1:10" x14ac:dyDescent="0.3">
      <c r="B16" s="124"/>
      <c r="C16" s="124"/>
      <c r="D16" s="124"/>
      <c r="E16" s="124"/>
      <c r="F16" s="124"/>
      <c r="G16" s="124"/>
    </row>
    <row r="17" spans="1:10" x14ac:dyDescent="0.3">
      <c r="B17" s="117">
        <f>+B8/B5</f>
        <v>3.2847574629669522E-2</v>
      </c>
      <c r="C17" s="117">
        <f t="shared" ref="C17:G17" si="2">+C8/C5</f>
        <v>2.7882618606563065E-2</v>
      </c>
      <c r="D17" s="117">
        <f t="shared" si="2"/>
        <v>1.5786875664347947E-2</v>
      </c>
      <c r="E17" s="117">
        <f t="shared" si="2"/>
        <v>1.4603048863866767E-2</v>
      </c>
      <c r="F17" s="117">
        <f t="shared" si="2"/>
        <v>1.5594230534042495E-2</v>
      </c>
      <c r="G17" s="117">
        <f t="shared" si="2"/>
        <v>1.396130458817026E-2</v>
      </c>
    </row>
    <row r="18" spans="1:10" x14ac:dyDescent="0.3">
      <c r="A18" s="100" t="s">
        <v>153</v>
      </c>
      <c r="B18" s="124"/>
      <c r="C18" s="124"/>
      <c r="D18" s="124"/>
      <c r="E18" s="124"/>
      <c r="F18" s="124"/>
      <c r="G18" s="124"/>
    </row>
    <row r="19" spans="1:10" x14ac:dyDescent="0.3">
      <c r="A19" s="7" t="s">
        <v>0</v>
      </c>
      <c r="B19" s="7">
        <v>2019</v>
      </c>
      <c r="C19" s="7">
        <v>2020</v>
      </c>
      <c r="D19" s="7">
        <v>2021</v>
      </c>
      <c r="E19" s="7">
        <v>2022</v>
      </c>
      <c r="F19" s="7">
        <v>2023</v>
      </c>
      <c r="G19" s="7">
        <v>2024</v>
      </c>
      <c r="H19" s="13">
        <v>2025</v>
      </c>
      <c r="I19" s="13">
        <v>2026</v>
      </c>
      <c r="J19" s="13">
        <v>2027</v>
      </c>
    </row>
    <row r="20" spans="1:10" x14ac:dyDescent="0.3">
      <c r="A20" s="118" t="s">
        <v>29</v>
      </c>
      <c r="B20" s="119">
        <v>9502</v>
      </c>
      <c r="C20" s="119">
        <v>6800</v>
      </c>
      <c r="D20" s="119">
        <v>8184</v>
      </c>
      <c r="E20" s="119">
        <v>9878</v>
      </c>
      <c r="F20" s="219">
        <v>9835</v>
      </c>
      <c r="G20" s="219">
        <v>10108</v>
      </c>
      <c r="H20" s="119">
        <f>+H15*Supuestos!$C$23</f>
        <v>11085.011923572514</v>
      </c>
      <c r="I20" s="119">
        <f>+I15*Supuestos!$C$23</f>
        <v>11605.707136033854</v>
      </c>
      <c r="J20" s="119">
        <f>+J15*Supuestos!$C$23</f>
        <v>12223.760593650164</v>
      </c>
    </row>
    <row r="21" spans="1:10" x14ac:dyDescent="0.3">
      <c r="A21" s="120" t="s">
        <v>144</v>
      </c>
      <c r="B21" s="121">
        <v>2780</v>
      </c>
      <c r="C21" s="121">
        <v>2611</v>
      </c>
      <c r="D21" s="121">
        <v>2317</v>
      </c>
      <c r="E21" s="121">
        <v>2885</v>
      </c>
      <c r="F21" s="204">
        <v>3047</v>
      </c>
      <c r="G21" s="204">
        <v>3040</v>
      </c>
      <c r="H21" s="121">
        <f>+H15*Supuestos!$C$24</f>
        <v>3333.4485840596685</v>
      </c>
      <c r="I21" s="121">
        <f>+I15*Supuestos!$C$24</f>
        <v>3490.0303478568617</v>
      </c>
      <c r="J21" s="121">
        <f>+J15*Supuestos!$C$24</f>
        <v>3675.8893651830504</v>
      </c>
    </row>
    <row r="22" spans="1:10" x14ac:dyDescent="0.3">
      <c r="A22" s="122" t="s">
        <v>145</v>
      </c>
      <c r="B22" s="123">
        <v>3299</v>
      </c>
      <c r="C22" s="123">
        <v>2989</v>
      </c>
      <c r="D22" s="123">
        <v>2274</v>
      </c>
      <c r="E22" s="123">
        <v>2561</v>
      </c>
      <c r="F22" s="220">
        <v>2529</v>
      </c>
      <c r="G22" s="220">
        <v>2602</v>
      </c>
      <c r="H22" s="123">
        <f>+H15*Supuestos!$C$25</f>
        <v>2853.2938139205039</v>
      </c>
      <c r="I22" s="123">
        <f>+I15*Supuestos!$C$25</f>
        <v>2987.3213132950964</v>
      </c>
      <c r="J22" s="123">
        <f>+J15*Supuestos!$C$25</f>
        <v>3146.4089281255956</v>
      </c>
    </row>
    <row r="23" spans="1:10" x14ac:dyDescent="0.3">
      <c r="B23" s="62">
        <f t="shared" ref="B23:D23" si="3">+SUM(B20:B22)</f>
        <v>15581</v>
      </c>
      <c r="C23" s="62">
        <f t="shared" si="3"/>
        <v>12400</v>
      </c>
      <c r="D23" s="62">
        <f t="shared" si="3"/>
        <v>12775</v>
      </c>
      <c r="E23" s="62">
        <f>+SUM(E20:E22)</f>
        <v>15324</v>
      </c>
      <c r="F23" s="221">
        <f t="shared" ref="F23" si="4">+SUM(F20:F22)</f>
        <v>15411</v>
      </c>
      <c r="G23" s="221">
        <f t="shared" ref="G23:H23" si="5">+SUM(G20:G22)</f>
        <v>15750</v>
      </c>
      <c r="H23" s="62">
        <f t="shared" si="5"/>
        <v>17271.754321552686</v>
      </c>
      <c r="I23" s="62">
        <f t="shared" ref="I23" si="6">+SUM(I20:I22)</f>
        <v>18083.058797185811</v>
      </c>
      <c r="J23" s="62">
        <f t="shared" ref="J23" si="7">+SUM(J20:J22)</f>
        <v>19046.05888695881</v>
      </c>
    </row>
    <row r="26" spans="1:10" x14ac:dyDescent="0.3">
      <c r="A26" s="125" t="s">
        <v>29</v>
      </c>
      <c r="B26" s="126">
        <f t="shared" ref="B26" si="8">+B20/B$23</f>
        <v>0.60984532443360506</v>
      </c>
      <c r="C26" s="126">
        <f t="shared" ref="C26:D26" si="9">+C20/C$23</f>
        <v>0.54838709677419351</v>
      </c>
      <c r="D26" s="126">
        <f t="shared" si="9"/>
        <v>0.64062622309197648</v>
      </c>
      <c r="E26" s="126">
        <f t="shared" ref="E26:G26" si="10">+E20/E$23</f>
        <v>0.64460976246410862</v>
      </c>
      <c r="F26" s="126">
        <f t="shared" si="10"/>
        <v>0.63818052040750117</v>
      </c>
      <c r="G26" s="126">
        <f t="shared" si="10"/>
        <v>0.64177777777777778</v>
      </c>
    </row>
    <row r="27" spans="1:10" x14ac:dyDescent="0.3">
      <c r="A27" s="125" t="s">
        <v>144</v>
      </c>
      <c r="B27" s="126">
        <f t="shared" ref="B27" si="11">+B21/B$23</f>
        <v>0.1784224375842372</v>
      </c>
      <c r="C27" s="126">
        <f t="shared" ref="C27:D27" si="12">+C21/C$23</f>
        <v>0.21056451612903226</v>
      </c>
      <c r="D27" s="126">
        <f t="shared" si="12"/>
        <v>0.18136986301369862</v>
      </c>
      <c r="E27" s="126">
        <f t="shared" ref="E27:G27" si="13">+E21/E$23</f>
        <v>0.18826677107804751</v>
      </c>
      <c r="F27" s="126">
        <f t="shared" si="13"/>
        <v>0.19771591720199858</v>
      </c>
      <c r="G27" s="126">
        <f t="shared" si="13"/>
        <v>0.19301587301587303</v>
      </c>
    </row>
    <row r="28" spans="1:10" x14ac:dyDescent="0.3">
      <c r="A28" s="125" t="s">
        <v>145</v>
      </c>
      <c r="B28" s="126">
        <f t="shared" ref="B28" si="14">+B22/B$23</f>
        <v>0.21173223798215776</v>
      </c>
      <c r="C28" s="126">
        <f t="shared" ref="C28:D28" si="15">+C22/C$23</f>
        <v>0.2410483870967742</v>
      </c>
      <c r="D28" s="126">
        <f t="shared" si="15"/>
        <v>0.17800391389432485</v>
      </c>
      <c r="E28" s="126">
        <f t="shared" ref="E28:G28" si="16">+E22/E$23</f>
        <v>0.1671234664578439</v>
      </c>
      <c r="F28" s="126">
        <f t="shared" si="16"/>
        <v>0.16410356239050028</v>
      </c>
      <c r="G28" s="126">
        <f t="shared" si="16"/>
        <v>0.16520634920634922</v>
      </c>
    </row>
    <row r="31" spans="1:10" x14ac:dyDescent="0.3">
      <c r="A31" s="126" t="s">
        <v>137</v>
      </c>
      <c r="B31" s="126">
        <f t="shared" ref="B31:D31" si="17">+B8/B$8</f>
        <v>1</v>
      </c>
      <c r="C31" s="126">
        <f t="shared" si="17"/>
        <v>1</v>
      </c>
      <c r="D31" s="126">
        <f t="shared" si="17"/>
        <v>1</v>
      </c>
      <c r="E31" s="126">
        <f t="shared" ref="E31:G31" si="18">+E8/E$8</f>
        <v>1</v>
      </c>
      <c r="F31" s="126">
        <f t="shared" si="18"/>
        <v>1</v>
      </c>
      <c r="G31" s="126">
        <f t="shared" si="18"/>
        <v>1</v>
      </c>
    </row>
    <row r="32" spans="1:10" x14ac:dyDescent="0.3">
      <c r="B32" s="127"/>
      <c r="C32" s="127"/>
      <c r="D32" s="127"/>
      <c r="E32" s="127"/>
      <c r="F32" s="127"/>
      <c r="G32" s="127"/>
    </row>
    <row r="33" spans="1:11" x14ac:dyDescent="0.3">
      <c r="A33" s="126" t="s">
        <v>139</v>
      </c>
      <c r="B33" s="126">
        <f t="shared" ref="B33:D37" si="19">+B10/B$8</f>
        <v>0.22357785572670427</v>
      </c>
      <c r="C33" s="126">
        <f t="shared" si="19"/>
        <v>0.19337545471950987</v>
      </c>
      <c r="D33" s="126">
        <f t="shared" si="19"/>
        <v>0.2142720122769998</v>
      </c>
      <c r="E33" s="126">
        <f t="shared" ref="E33:G33" si="20">+E10/E$8</f>
        <v>0.20116241524055536</v>
      </c>
      <c r="F33" s="126">
        <f t="shared" si="20"/>
        <v>0.21814980793854033</v>
      </c>
      <c r="G33" s="126">
        <f t="shared" si="20"/>
        <v>0.21777003484320556</v>
      </c>
      <c r="H33" s="128"/>
      <c r="J33" s="177" t="s">
        <v>139</v>
      </c>
      <c r="K33" s="208">
        <f>2/12</f>
        <v>0.16666666666666666</v>
      </c>
    </row>
    <row r="34" spans="1:11" x14ac:dyDescent="0.3">
      <c r="A34" s="126" t="s">
        <v>140</v>
      </c>
      <c r="B34" s="126">
        <f t="shared" si="19"/>
        <v>0.12124447155711453</v>
      </c>
      <c r="C34" s="126">
        <f t="shared" si="19"/>
        <v>0.12655561937583765</v>
      </c>
      <c r="D34" s="126">
        <f t="shared" si="19"/>
        <v>0.11970074812967581</v>
      </c>
      <c r="E34" s="126">
        <f t="shared" ref="E34:G34" si="21">+E11/E$8</f>
        <v>0.10978366160800775</v>
      </c>
      <c r="F34" s="126">
        <f t="shared" si="21"/>
        <v>0.12596030729833546</v>
      </c>
      <c r="G34" s="126">
        <f t="shared" si="21"/>
        <v>0.12052581564776686</v>
      </c>
      <c r="J34" s="177" t="s">
        <v>140</v>
      </c>
      <c r="K34" s="208">
        <f>1/12</f>
        <v>8.3333333333333329E-2</v>
      </c>
    </row>
    <row r="35" spans="1:11" x14ac:dyDescent="0.3">
      <c r="A35" s="126" t="s">
        <v>141</v>
      </c>
      <c r="B35" s="126">
        <f t="shared" si="19"/>
        <v>0.10370596309287784</v>
      </c>
      <c r="C35" s="126">
        <f t="shared" si="19"/>
        <v>0.11468504690790733</v>
      </c>
      <c r="D35" s="126">
        <f t="shared" si="19"/>
        <v>0.10684826395549588</v>
      </c>
      <c r="E35" s="126">
        <f t="shared" ref="E35:G35" si="22">+E12/E$8</f>
        <v>8.9441394898288673E-2</v>
      </c>
      <c r="F35" s="126">
        <f t="shared" si="22"/>
        <v>9.715108834827145E-2</v>
      </c>
      <c r="G35" s="126">
        <f t="shared" si="22"/>
        <v>9.3918276845106119E-2</v>
      </c>
      <c r="J35" s="177" t="s">
        <v>203</v>
      </c>
      <c r="K35" s="208">
        <v>0.09</v>
      </c>
    </row>
    <row r="36" spans="1:11" x14ac:dyDescent="0.3">
      <c r="A36" s="126" t="s">
        <v>142</v>
      </c>
      <c r="B36" s="179">
        <f t="shared" si="19"/>
        <v>0.10706115601647094</v>
      </c>
      <c r="C36" s="179">
        <f t="shared" si="19"/>
        <v>0.10798391728891442</v>
      </c>
      <c r="D36" s="179">
        <f t="shared" si="19"/>
        <v>9.6681373489353545E-2</v>
      </c>
      <c r="E36" s="179">
        <f t="shared" ref="E36:G36" si="23">+E13/E$8</f>
        <v>9.9773974814336461E-2</v>
      </c>
      <c r="F36" s="179">
        <f t="shared" si="23"/>
        <v>9.5070422535211266E-2</v>
      </c>
      <c r="G36" s="179">
        <f t="shared" si="23"/>
        <v>0.10817231548938866</v>
      </c>
      <c r="J36" s="177" t="s">
        <v>142</v>
      </c>
      <c r="K36" s="208">
        <f>1/12</f>
        <v>8.3333333333333329E-2</v>
      </c>
    </row>
    <row r="37" spans="1:11" x14ac:dyDescent="0.3">
      <c r="A37" s="126" t="s">
        <v>143</v>
      </c>
      <c r="B37" s="126">
        <f t="shared" si="19"/>
        <v>0.48879060545981395</v>
      </c>
      <c r="C37" s="126">
        <f t="shared" si="19"/>
        <v>0.5475780202948497</v>
      </c>
      <c r="D37" s="126">
        <f t="shared" si="19"/>
        <v>0.38423172837137926</v>
      </c>
      <c r="E37" s="126">
        <f t="shared" ref="E37:G37" si="24">+E14/E$8</f>
        <v>0.41346464320309978</v>
      </c>
      <c r="F37" s="126">
        <f t="shared" si="24"/>
        <v>0.43245838668373882</v>
      </c>
      <c r="G37" s="126">
        <f t="shared" si="24"/>
        <v>0.44868546088058281</v>
      </c>
      <c r="K37" s="178">
        <f>+SUM(K33:K36)</f>
        <v>0.42333333333333328</v>
      </c>
    </row>
    <row r="39" spans="1:11" x14ac:dyDescent="0.3">
      <c r="A39" s="7" t="s">
        <v>0</v>
      </c>
      <c r="B39" s="7">
        <v>2019</v>
      </c>
      <c r="C39" s="7">
        <v>2020</v>
      </c>
      <c r="D39" s="7">
        <v>2021</v>
      </c>
      <c r="E39" s="7">
        <v>2022</v>
      </c>
      <c r="F39" s="7">
        <v>2023</v>
      </c>
      <c r="G39" s="7">
        <v>2024</v>
      </c>
      <c r="H39" s="13">
        <v>2025</v>
      </c>
      <c r="I39" s="13">
        <v>2026</v>
      </c>
      <c r="J39" s="13">
        <v>2027</v>
      </c>
    </row>
    <row r="40" spans="1:11" x14ac:dyDescent="0.3">
      <c r="A40" s="99" t="s">
        <v>160</v>
      </c>
      <c r="B40" s="104">
        <f>+SUM(B8,B10:B14)</f>
        <v>13405</v>
      </c>
      <c r="C40" s="104">
        <f t="shared" ref="C40:J40" si="25">+SUM(C8,C10:C14)</f>
        <v>10917</v>
      </c>
      <c r="D40" s="104">
        <f t="shared" si="25"/>
        <v>10018</v>
      </c>
      <c r="E40" s="104">
        <f t="shared" si="25"/>
        <v>11853</v>
      </c>
      <c r="F40" s="104">
        <f t="shared" si="25"/>
        <v>12301</v>
      </c>
      <c r="G40" s="104">
        <f t="shared" si="25"/>
        <v>12559</v>
      </c>
      <c r="H40" s="104">
        <f t="shared" si="25"/>
        <v>13114.73346720418</v>
      </c>
      <c r="I40" s="104">
        <f t="shared" si="25"/>
        <v>13733.260429704435</v>
      </c>
      <c r="J40" s="104">
        <f t="shared" si="25"/>
        <v>14459.579078329634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90A3-4443-45BD-B5A0-37BADCFC78A3}">
  <sheetPr>
    <tabColor theme="7" tint="0.79998168889431442"/>
  </sheetPr>
  <dimension ref="A4:J18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28.109375" bestFit="1" customWidth="1"/>
  </cols>
  <sheetData>
    <row r="4" spans="1:10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125" t="s">
        <v>43</v>
      </c>
      <c r="B5" s="20">
        <f>+ER!B6</f>
        <v>199619</v>
      </c>
      <c r="C5" s="20">
        <f>+ER!C6</f>
        <v>187321</v>
      </c>
      <c r="D5" s="20">
        <f>+ER!D6</f>
        <v>330211</v>
      </c>
      <c r="E5" s="20">
        <f>+ER!E6</f>
        <v>424158</v>
      </c>
      <c r="F5" s="20">
        <f>+ER!F6</f>
        <v>400661</v>
      </c>
      <c r="G5" s="20">
        <f>+ER!G6</f>
        <v>452250</v>
      </c>
      <c r="H5" s="20">
        <f>+ER!H6</f>
        <v>470950.01569999999</v>
      </c>
      <c r="I5" s="20">
        <f>+ER!I6</f>
        <v>493161.3159470699</v>
      </c>
      <c r="J5" s="20">
        <f>+ER!J6</f>
        <v>519243.41512419953</v>
      </c>
    </row>
    <row r="7" spans="1:10" x14ac:dyDescent="0.3">
      <c r="A7" s="7" t="s">
        <v>0</v>
      </c>
      <c r="B7" s="7">
        <v>2019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13">
        <v>2025</v>
      </c>
      <c r="I7" s="13">
        <v>2026</v>
      </c>
      <c r="J7" s="13">
        <v>2027</v>
      </c>
    </row>
    <row r="8" spans="1:10" x14ac:dyDescent="0.3">
      <c r="A8" s="74" t="s">
        <v>128</v>
      </c>
      <c r="B8" s="222">
        <v>2767</v>
      </c>
      <c r="C8" s="222">
        <v>2113</v>
      </c>
      <c r="D8" s="222">
        <v>3554</v>
      </c>
      <c r="E8" s="222">
        <v>5718</v>
      </c>
      <c r="F8" s="222">
        <v>3820</v>
      </c>
      <c r="G8" s="222">
        <v>4084</v>
      </c>
      <c r="H8" s="222">
        <f>+H5*Supuestos!$C$29</f>
        <v>5227.5451742699997</v>
      </c>
      <c r="I8" s="222">
        <f>+I5*Supuestos!$C$29</f>
        <v>5474.0906070124765</v>
      </c>
      <c r="J8" s="222">
        <f>+J5*Supuestos!$C$29</f>
        <v>5763.6019078786148</v>
      </c>
    </row>
    <row r="9" spans="1:10" x14ac:dyDescent="0.3">
      <c r="A9" s="76" t="s">
        <v>129</v>
      </c>
      <c r="B9" s="223">
        <v>2780</v>
      </c>
      <c r="C9" s="223">
        <v>2611</v>
      </c>
      <c r="D9" s="223">
        <v>2317</v>
      </c>
      <c r="E9" s="223">
        <v>2885</v>
      </c>
      <c r="F9" s="223">
        <v>3047</v>
      </c>
      <c r="G9" s="223">
        <v>3040</v>
      </c>
      <c r="H9" s="223">
        <f>+'Gasto de Personal'!H21</f>
        <v>3333.4485840596685</v>
      </c>
      <c r="I9" s="223">
        <f>+'Gasto de Personal'!I21</f>
        <v>3490.0303478568617</v>
      </c>
      <c r="J9" s="223">
        <f>+'Gasto de Personal'!J21</f>
        <v>3675.8893651830504</v>
      </c>
    </row>
    <row r="10" spans="1:10" x14ac:dyDescent="0.3">
      <c r="A10" s="76" t="s">
        <v>130</v>
      </c>
      <c r="B10" s="223">
        <v>680</v>
      </c>
      <c r="C10" s="223">
        <v>308</v>
      </c>
      <c r="D10" s="223">
        <v>1178</v>
      </c>
      <c r="E10" s="223">
        <v>574</v>
      </c>
      <c r="F10" s="223">
        <v>1086</v>
      </c>
      <c r="G10" s="223">
        <v>449</v>
      </c>
      <c r="H10" s="223">
        <f>+H5*Supuestos!$C$30</f>
        <v>988.9950329699999</v>
      </c>
      <c r="I10" s="223">
        <f>+I5*Supuestos!$C$30</f>
        <v>1035.6387634888467</v>
      </c>
      <c r="J10" s="223">
        <f>+J5*Supuestos!$C$30</f>
        <v>1090.4111717608189</v>
      </c>
    </row>
    <row r="11" spans="1:10" x14ac:dyDescent="0.3">
      <c r="A11" s="76" t="s">
        <v>131</v>
      </c>
      <c r="B11" s="223">
        <v>939</v>
      </c>
      <c r="C11" s="223">
        <v>939</v>
      </c>
      <c r="D11" s="223">
        <v>945</v>
      </c>
      <c r="E11" s="223">
        <v>962</v>
      </c>
      <c r="F11" s="223">
        <v>845</v>
      </c>
      <c r="G11" s="223">
        <v>853</v>
      </c>
      <c r="H11" s="223">
        <f>IME!H36</f>
        <v>852.99999999999989</v>
      </c>
      <c r="I11" s="223">
        <f>IME!I36</f>
        <v>852.99999999999989</v>
      </c>
      <c r="J11" s="223">
        <f>IME!J36</f>
        <v>852.99999999999989</v>
      </c>
    </row>
    <row r="12" spans="1:10" x14ac:dyDescent="0.3">
      <c r="A12" s="76" t="s">
        <v>132</v>
      </c>
      <c r="B12" s="223">
        <v>71</v>
      </c>
      <c r="C12" s="223">
        <v>40</v>
      </c>
      <c r="D12" s="223">
        <v>40</v>
      </c>
      <c r="E12" s="223">
        <v>61</v>
      </c>
      <c r="F12" s="223">
        <v>84</v>
      </c>
      <c r="G12" s="223">
        <v>105</v>
      </c>
      <c r="H12" s="223">
        <f>+IME!H22</f>
        <v>51.045585630000005</v>
      </c>
      <c r="I12" s="223">
        <f>+IME!I22</f>
        <v>57.143322660782303</v>
      </c>
      <c r="J12" s="223">
        <f>+IME!J22</f>
        <v>63.199103178330347</v>
      </c>
    </row>
    <row r="13" spans="1:10" x14ac:dyDescent="0.3">
      <c r="A13" s="76" t="s">
        <v>133</v>
      </c>
      <c r="B13" s="223">
        <v>28</v>
      </c>
      <c r="C13" s="223">
        <v>28</v>
      </c>
      <c r="D13" s="223">
        <v>25</v>
      </c>
      <c r="E13" s="223">
        <v>27</v>
      </c>
      <c r="F13" s="223">
        <v>21</v>
      </c>
      <c r="G13" s="223">
        <v>22</v>
      </c>
      <c r="H13" s="223">
        <f>+G13</f>
        <v>22</v>
      </c>
      <c r="I13" s="223">
        <f t="shared" ref="I13:J13" si="0">+H13</f>
        <v>22</v>
      </c>
      <c r="J13" s="223">
        <f t="shared" si="0"/>
        <v>22</v>
      </c>
    </row>
    <row r="14" spans="1:10" x14ac:dyDescent="0.3">
      <c r="A14" s="78" t="s">
        <v>134</v>
      </c>
      <c r="B14" s="79">
        <v>3</v>
      </c>
      <c r="C14" s="79">
        <v>2</v>
      </c>
      <c r="D14" s="79">
        <v>2</v>
      </c>
      <c r="E14" s="79">
        <v>0</v>
      </c>
      <c r="F14" s="79">
        <v>0</v>
      </c>
      <c r="G14" s="79">
        <v>0</v>
      </c>
      <c r="H14" s="79">
        <f>+G14</f>
        <v>0</v>
      </c>
      <c r="I14" s="79">
        <f t="shared" ref="I14:J14" si="1">+H14</f>
        <v>0</v>
      </c>
      <c r="J14" s="79">
        <f t="shared" si="1"/>
        <v>0</v>
      </c>
    </row>
    <row r="15" spans="1:10" x14ac:dyDescent="0.3">
      <c r="B15" s="81">
        <f>+SUM(B8:B14)</f>
        <v>7268</v>
      </c>
      <c r="C15" s="81">
        <f t="shared" ref="C15:G15" si="2">+SUM(C8:C14)</f>
        <v>6041</v>
      </c>
      <c r="D15" s="81">
        <f t="shared" si="2"/>
        <v>8061</v>
      </c>
      <c r="E15" s="81">
        <f t="shared" ref="E15:F15" si="3">+SUM(E8:E14)</f>
        <v>10227</v>
      </c>
      <c r="F15" s="81">
        <f t="shared" si="3"/>
        <v>8903</v>
      </c>
      <c r="G15" s="81">
        <f t="shared" si="2"/>
        <v>8553</v>
      </c>
      <c r="H15" s="224">
        <f>+SUM(H8:H14)</f>
        <v>10476.034376929669</v>
      </c>
      <c r="I15" s="224">
        <f t="shared" ref="I15" si="4">+SUM(I8:I14)</f>
        <v>10931.903041018968</v>
      </c>
      <c r="J15" s="224">
        <f t="shared" ref="J15" si="5">+SUM(J8:J14)</f>
        <v>11468.101548000815</v>
      </c>
    </row>
    <row r="17" spans="1:10" x14ac:dyDescent="0.3">
      <c r="A17" s="7" t="s">
        <v>0</v>
      </c>
      <c r="B17" s="7">
        <v>2019</v>
      </c>
      <c r="C17" s="7">
        <v>2020</v>
      </c>
      <c r="D17" s="7">
        <v>2021</v>
      </c>
      <c r="E17" s="7">
        <v>2022</v>
      </c>
      <c r="F17" s="7">
        <v>2023</v>
      </c>
      <c r="G17" s="7">
        <v>2024</v>
      </c>
      <c r="H17" s="13">
        <v>2025</v>
      </c>
      <c r="I17" s="13">
        <v>2026</v>
      </c>
      <c r="J17" s="13">
        <v>2027</v>
      </c>
    </row>
    <row r="18" spans="1:10" x14ac:dyDescent="0.3">
      <c r="A18" s="21" t="s">
        <v>161</v>
      </c>
      <c r="B18" s="33">
        <f>+SUM(B8,B10:B14)</f>
        <v>4488</v>
      </c>
      <c r="C18" s="33">
        <f t="shared" ref="C18:J18" si="6">+SUM(C8,C10:C14)</f>
        <v>3430</v>
      </c>
      <c r="D18" s="33">
        <f t="shared" si="6"/>
        <v>5744</v>
      </c>
      <c r="E18" s="33">
        <f t="shared" si="6"/>
        <v>7342</v>
      </c>
      <c r="F18" s="33">
        <f t="shared" si="6"/>
        <v>5856</v>
      </c>
      <c r="G18" s="33">
        <f t="shared" si="6"/>
        <v>5513</v>
      </c>
      <c r="H18" s="33">
        <f t="shared" si="6"/>
        <v>7142.5857928699988</v>
      </c>
      <c r="I18" s="33">
        <f t="shared" si="6"/>
        <v>7441.8726931621059</v>
      </c>
      <c r="J18" s="33">
        <f t="shared" si="6"/>
        <v>7792.2121828177633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F82E-B591-4348-BAE9-F53450D2F4B8}">
  <sheetPr>
    <tabColor theme="7" tint="0.79998168889431442"/>
  </sheetPr>
  <dimension ref="A4:L23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RowHeight="14.4" x14ac:dyDescent="0.3"/>
  <cols>
    <col min="1" max="1" width="28.109375" bestFit="1" customWidth="1"/>
  </cols>
  <sheetData>
    <row r="4" spans="1:12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2" x14ac:dyDescent="0.3">
      <c r="A5" t="s">
        <v>43</v>
      </c>
      <c r="B5" s="20">
        <f>+ER!B6</f>
        <v>199619</v>
      </c>
      <c r="C5" s="20">
        <f>+ER!C6</f>
        <v>187321</v>
      </c>
      <c r="D5" s="20">
        <f>+ER!D6</f>
        <v>330211</v>
      </c>
      <c r="E5" s="20">
        <f>+ER!E6</f>
        <v>424158</v>
      </c>
      <c r="F5" s="20">
        <f>+ER!F6</f>
        <v>400661</v>
      </c>
      <c r="G5" s="20">
        <f>+ER!G6</f>
        <v>452250</v>
      </c>
      <c r="H5" s="20">
        <f>+ER!H6</f>
        <v>470950.01569999999</v>
      </c>
      <c r="I5" s="20">
        <f>+ER!I6</f>
        <v>493161.3159470699</v>
      </c>
      <c r="J5" s="20">
        <f>+ER!J6</f>
        <v>519243.41512419953</v>
      </c>
    </row>
    <row r="8" spans="1:12" x14ac:dyDescent="0.3">
      <c r="A8" s="7" t="s">
        <v>0</v>
      </c>
      <c r="B8" s="7">
        <v>2019</v>
      </c>
      <c r="C8" s="7">
        <v>2020</v>
      </c>
      <c r="D8" s="7">
        <v>2021</v>
      </c>
      <c r="E8" s="7">
        <v>2022</v>
      </c>
      <c r="F8" s="7">
        <v>2023</v>
      </c>
      <c r="G8" s="7">
        <v>2024</v>
      </c>
      <c r="H8" s="13">
        <v>2025</v>
      </c>
      <c r="I8" s="13">
        <v>2026</v>
      </c>
      <c r="J8" s="13">
        <v>2027</v>
      </c>
    </row>
    <row r="9" spans="1:12" x14ac:dyDescent="0.3">
      <c r="A9" s="74" t="s">
        <v>128</v>
      </c>
      <c r="B9" s="75">
        <v>5730</v>
      </c>
      <c r="C9" s="75">
        <v>4519</v>
      </c>
      <c r="D9" s="75">
        <v>6703</v>
      </c>
      <c r="E9" s="75">
        <v>7142</v>
      </c>
      <c r="F9" s="222">
        <v>7354</v>
      </c>
      <c r="G9" s="222">
        <v>7023</v>
      </c>
      <c r="H9" s="222">
        <f>+H5*Supuestos!$C$33</f>
        <v>9089.3353030100006</v>
      </c>
      <c r="I9" s="222">
        <f>+I5*Supuestos!$C$33</f>
        <v>9518.0133977784499</v>
      </c>
      <c r="J9" s="222">
        <f>+J5*Supuestos!$C$33</f>
        <v>10021.397911897051</v>
      </c>
    </row>
    <row r="10" spans="1:12" x14ac:dyDescent="0.3">
      <c r="A10" s="76" t="s">
        <v>129</v>
      </c>
      <c r="B10" s="77">
        <v>3299</v>
      </c>
      <c r="C10" s="77">
        <v>2989</v>
      </c>
      <c r="D10" s="77">
        <v>2274</v>
      </c>
      <c r="E10" s="77">
        <v>2561</v>
      </c>
      <c r="F10" s="223">
        <v>2529</v>
      </c>
      <c r="G10" s="223">
        <v>2602</v>
      </c>
      <c r="H10" s="223">
        <f>+'Gasto de Personal'!H22</f>
        <v>2853.2938139205039</v>
      </c>
      <c r="I10" s="223">
        <f>+'Gasto de Personal'!I22</f>
        <v>2987.3213132950964</v>
      </c>
      <c r="J10" s="223">
        <f>+'Gasto de Personal'!J22</f>
        <v>3146.4089281255956</v>
      </c>
    </row>
    <row r="11" spans="1:12" x14ac:dyDescent="0.3">
      <c r="A11" s="76" t="s">
        <v>131</v>
      </c>
      <c r="B11" s="77">
        <v>0</v>
      </c>
      <c r="C11" s="77">
        <v>1684</v>
      </c>
      <c r="D11" s="77">
        <v>2020</v>
      </c>
      <c r="E11" s="77">
        <v>1810</v>
      </c>
      <c r="F11" s="223">
        <v>1946</v>
      </c>
      <c r="G11" s="223">
        <v>1946</v>
      </c>
      <c r="H11" s="223">
        <f>IME!H35</f>
        <v>1946</v>
      </c>
      <c r="I11" s="223">
        <f>IME!I35</f>
        <v>1946</v>
      </c>
      <c r="J11" s="223">
        <f>IME!J35</f>
        <v>1946</v>
      </c>
    </row>
    <row r="12" spans="1:12" x14ac:dyDescent="0.3">
      <c r="A12" s="76" t="s">
        <v>135</v>
      </c>
      <c r="B12" s="77">
        <v>505</v>
      </c>
      <c r="C12" s="77">
        <v>368</v>
      </c>
      <c r="D12" s="77">
        <v>632</v>
      </c>
      <c r="E12" s="77">
        <v>1255</v>
      </c>
      <c r="F12" s="223">
        <v>2430</v>
      </c>
      <c r="G12" s="223">
        <v>1138</v>
      </c>
      <c r="H12" s="223">
        <f>+H5*Supuestos!$C$34</f>
        <v>1507.04005024</v>
      </c>
      <c r="I12" s="223">
        <f>+I5*Supuestos!$C$34</f>
        <v>1578.1162110306238</v>
      </c>
      <c r="J12" s="223">
        <f>+J5*Supuestos!$C$34</f>
        <v>1661.5789283974386</v>
      </c>
    </row>
    <row r="13" spans="1:12" x14ac:dyDescent="0.3">
      <c r="A13" s="76" t="s">
        <v>133</v>
      </c>
      <c r="B13" s="77">
        <v>195</v>
      </c>
      <c r="C13" s="77">
        <v>134</v>
      </c>
      <c r="D13" s="77">
        <v>139</v>
      </c>
      <c r="E13" s="77">
        <v>212</v>
      </c>
      <c r="F13" s="223">
        <v>249</v>
      </c>
      <c r="G13" s="223">
        <v>230</v>
      </c>
      <c r="H13" s="223">
        <f>+G13</f>
        <v>230</v>
      </c>
      <c r="I13" s="223">
        <f t="shared" ref="I13:J13" si="0">+H13</f>
        <v>230</v>
      </c>
      <c r="J13" s="223">
        <f t="shared" si="0"/>
        <v>230</v>
      </c>
      <c r="L13" s="17"/>
    </row>
    <row r="14" spans="1:12" x14ac:dyDescent="0.3">
      <c r="A14" s="76" t="s">
        <v>132</v>
      </c>
      <c r="B14" s="77">
        <v>66</v>
      </c>
      <c r="C14" s="77">
        <v>48</v>
      </c>
      <c r="D14" s="77">
        <v>55</v>
      </c>
      <c r="E14" s="77">
        <v>84</v>
      </c>
      <c r="F14" s="223">
        <v>148</v>
      </c>
      <c r="G14" s="223">
        <v>247</v>
      </c>
      <c r="H14" s="223">
        <f>+IME!H23</f>
        <v>120.09754289000001</v>
      </c>
      <c r="I14" s="223">
        <f>+IME!I23</f>
        <v>134.44399862261727</v>
      </c>
      <c r="J14" s="223">
        <f>+IME!J23</f>
        <v>148.69174113477723</v>
      </c>
    </row>
    <row r="15" spans="1:12" x14ac:dyDescent="0.3">
      <c r="A15" s="76" t="s">
        <v>134</v>
      </c>
      <c r="B15" s="77">
        <v>21</v>
      </c>
      <c r="C15" s="77">
        <v>19</v>
      </c>
      <c r="D15" s="77">
        <v>6</v>
      </c>
      <c r="E15" s="77">
        <v>4</v>
      </c>
      <c r="F15" s="223">
        <v>4</v>
      </c>
      <c r="G15" s="223">
        <v>35</v>
      </c>
      <c r="H15" s="223">
        <f>+G15</f>
        <v>35</v>
      </c>
      <c r="I15" s="223">
        <f t="shared" ref="I15:J15" si="1">+H15</f>
        <v>35</v>
      </c>
      <c r="J15" s="223">
        <f t="shared" si="1"/>
        <v>35</v>
      </c>
    </row>
    <row r="16" spans="1:12" x14ac:dyDescent="0.3">
      <c r="A16" s="78" t="s">
        <v>136</v>
      </c>
      <c r="B16" s="79">
        <v>194</v>
      </c>
      <c r="C16" s="79">
        <v>-47</v>
      </c>
      <c r="D16" s="79">
        <v>-12</v>
      </c>
      <c r="E16" s="79">
        <v>718</v>
      </c>
      <c r="F16" s="79">
        <v>7</v>
      </c>
      <c r="G16" s="79">
        <v>28</v>
      </c>
      <c r="H16" s="79">
        <f>+Supuestos!$C$35</f>
        <v>148</v>
      </c>
      <c r="I16" s="79">
        <f>+Supuestos!$C$35</f>
        <v>148</v>
      </c>
      <c r="J16" s="79">
        <f>+Supuestos!$C$35</f>
        <v>148</v>
      </c>
    </row>
    <row r="17" spans="1:10" x14ac:dyDescent="0.3">
      <c r="B17" s="81">
        <f t="shared" ref="B17:D17" si="2">+SUM(B9:B16)</f>
        <v>10010</v>
      </c>
      <c r="C17" s="81">
        <f t="shared" si="2"/>
        <v>9714</v>
      </c>
      <c r="D17" s="81">
        <f t="shared" si="2"/>
        <v>11817</v>
      </c>
      <c r="E17" s="81">
        <f t="shared" ref="E17" si="3">+SUM(E9:E16)</f>
        <v>13786</v>
      </c>
      <c r="F17" s="81">
        <f t="shared" ref="F17" si="4">+SUM(F9:F16)</f>
        <v>14667</v>
      </c>
      <c r="G17" s="81">
        <f t="shared" ref="G17:J17" si="5">+SUM(G9:G16)</f>
        <v>13249</v>
      </c>
      <c r="H17" s="81">
        <f t="shared" si="5"/>
        <v>15928.766710060505</v>
      </c>
      <c r="I17" s="81">
        <f t="shared" si="5"/>
        <v>16576.894920726787</v>
      </c>
      <c r="J17" s="81">
        <f t="shared" si="5"/>
        <v>17337.077509554863</v>
      </c>
    </row>
    <row r="19" spans="1:10" x14ac:dyDescent="0.3">
      <c r="A19" s="7" t="s">
        <v>0</v>
      </c>
      <c r="B19" s="7">
        <v>2019</v>
      </c>
      <c r="C19" s="7">
        <v>2020</v>
      </c>
      <c r="D19" s="7">
        <v>2021</v>
      </c>
      <c r="E19" s="7">
        <v>2022</v>
      </c>
      <c r="F19" s="7">
        <v>2023</v>
      </c>
      <c r="G19" s="7">
        <v>2024</v>
      </c>
      <c r="H19" s="13">
        <v>2025</v>
      </c>
      <c r="I19" s="13">
        <v>2026</v>
      </c>
      <c r="J19" s="13">
        <v>2027</v>
      </c>
    </row>
    <row r="20" spans="1:10" x14ac:dyDescent="0.3">
      <c r="A20" s="21" t="s">
        <v>161</v>
      </c>
      <c r="B20" s="33">
        <f>+SUM(B9,B11:B16)</f>
        <v>6711</v>
      </c>
      <c r="C20" s="33">
        <f t="shared" ref="C20:J20" si="6">+SUM(C9,C11:C16)</f>
        <v>6725</v>
      </c>
      <c r="D20" s="33">
        <f t="shared" si="6"/>
        <v>9543</v>
      </c>
      <c r="E20" s="33">
        <f t="shared" si="6"/>
        <v>11225</v>
      </c>
      <c r="F20" s="33">
        <f t="shared" si="6"/>
        <v>12138</v>
      </c>
      <c r="G20" s="33">
        <f t="shared" si="6"/>
        <v>10647</v>
      </c>
      <c r="H20" s="33">
        <f t="shared" si="6"/>
        <v>13075.472896140001</v>
      </c>
      <c r="I20" s="33">
        <f t="shared" si="6"/>
        <v>13589.57360743169</v>
      </c>
      <c r="J20" s="33">
        <f t="shared" si="6"/>
        <v>14190.668581429267</v>
      </c>
    </row>
    <row r="21" spans="1:10" x14ac:dyDescent="0.3">
      <c r="I21" s="16"/>
    </row>
    <row r="23" spans="1:10" x14ac:dyDescent="0.3">
      <c r="F23" s="16"/>
      <c r="G23" s="1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7A42-9053-45C2-8A83-66CB8352094E}">
  <sheetPr>
    <tabColor theme="7" tint="0.79998168889431442"/>
  </sheetPr>
  <dimension ref="A4:L11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RowHeight="14.4" x14ac:dyDescent="0.3"/>
  <cols>
    <col min="1" max="1" width="76.21875" customWidth="1"/>
  </cols>
  <sheetData>
    <row r="4" spans="1:12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2" x14ac:dyDescent="0.3">
      <c r="A5" s="130" t="s">
        <v>33</v>
      </c>
      <c r="B5" s="116">
        <f>+ER!B14</f>
        <v>386</v>
      </c>
      <c r="C5" s="116">
        <f>+ER!C14</f>
        <v>843</v>
      </c>
      <c r="D5" s="116">
        <f>+ER!D14</f>
        <v>2507</v>
      </c>
      <c r="E5" s="116">
        <f>+ER!E14</f>
        <v>1351</v>
      </c>
      <c r="F5" s="116">
        <f>+ER!F14</f>
        <v>4855</v>
      </c>
      <c r="G5" s="116">
        <f>+ER!G14</f>
        <v>5148</v>
      </c>
      <c r="H5" s="116">
        <f>+H11*Supuestos!$C$49</f>
        <v>3062.3591337301109</v>
      </c>
      <c r="I5" s="116">
        <f>+I11*Supuestos!$C$49</f>
        <v>3129.0115843904682</v>
      </c>
      <c r="J5" s="116">
        <f>+J11*Supuestos!$C$49</f>
        <v>3302.9809886942303</v>
      </c>
    </row>
    <row r="8" spans="1:12" x14ac:dyDescent="0.3">
      <c r="A8" s="7" t="s">
        <v>0</v>
      </c>
      <c r="B8" s="7">
        <v>2019</v>
      </c>
      <c r="C8" s="7">
        <v>2020</v>
      </c>
      <c r="D8" s="7">
        <v>2021</v>
      </c>
      <c r="E8" s="7">
        <v>2022</v>
      </c>
      <c r="F8" s="7">
        <v>2023</v>
      </c>
      <c r="G8" s="7">
        <v>2024</v>
      </c>
      <c r="H8" s="13">
        <v>2025</v>
      </c>
      <c r="I8" s="13">
        <v>2026</v>
      </c>
      <c r="J8" s="13">
        <v>2027</v>
      </c>
    </row>
    <row r="9" spans="1:12" x14ac:dyDescent="0.3">
      <c r="A9" s="130" t="s">
        <v>4</v>
      </c>
      <c r="B9" s="116">
        <f>+ESF!B9</f>
        <v>24037</v>
      </c>
      <c r="C9" s="116">
        <f>+ESF!C9</f>
        <v>17377</v>
      </c>
      <c r="D9" s="116">
        <f>+ESF!D9</f>
        <v>28388</v>
      </c>
      <c r="E9" s="116">
        <f>+ESF!E9</f>
        <v>26997</v>
      </c>
      <c r="F9" s="116">
        <f>+ESF!F9</f>
        <v>25283</v>
      </c>
      <c r="G9" s="116">
        <f>+ESF!G9</f>
        <v>29131</v>
      </c>
      <c r="H9" s="116">
        <f>+ESF!H9</f>
        <v>31045.946450555552</v>
      </c>
      <c r="I9" s="116">
        <f>+ESF!I9</f>
        <v>31969.1105871256</v>
      </c>
      <c r="J9" s="116">
        <f>+ESF!J9</f>
        <v>34378.659123188787</v>
      </c>
      <c r="L9" s="211"/>
    </row>
    <row r="10" spans="1:12" x14ac:dyDescent="0.3">
      <c r="A10" s="130" t="s">
        <v>40</v>
      </c>
      <c r="B10" s="116">
        <f>+ESF!B17</f>
        <v>2080</v>
      </c>
      <c r="C10" s="116">
        <f>+ESF!C17</f>
        <v>11016</v>
      </c>
      <c r="D10" s="116">
        <f>+ESF!D17</f>
        <v>10991</v>
      </c>
      <c r="E10" s="116">
        <f>+ESF!E17</f>
        <v>11074</v>
      </c>
      <c r="F10" s="116">
        <f>+ESF!F17</f>
        <v>11151</v>
      </c>
      <c r="G10" s="116">
        <f>+ESF!G17</f>
        <v>11369</v>
      </c>
      <c r="H10" s="116">
        <f>+ESF!H17</f>
        <v>11369</v>
      </c>
      <c r="I10" s="116">
        <f>+ESF!I17</f>
        <v>11369</v>
      </c>
      <c r="J10" s="116">
        <f>+ESF!J17</f>
        <v>11369</v>
      </c>
      <c r="L10" s="211"/>
    </row>
    <row r="11" spans="1:12" x14ac:dyDescent="0.3">
      <c r="A11" t="s">
        <v>225</v>
      </c>
      <c r="B11" s="116">
        <f>+SUM(B9:B10)</f>
        <v>26117</v>
      </c>
      <c r="C11" s="116">
        <f t="shared" ref="C11:J11" si="0">+SUM(C9:C10)</f>
        <v>28393</v>
      </c>
      <c r="D11" s="116">
        <f t="shared" si="0"/>
        <v>39379</v>
      </c>
      <c r="E11" s="116">
        <f t="shared" ref="E11:G11" si="1">+SUM(E9:E10)</f>
        <v>38071</v>
      </c>
      <c r="F11" s="116">
        <f t="shared" si="1"/>
        <v>36434</v>
      </c>
      <c r="G11" s="116">
        <f t="shared" si="1"/>
        <v>40500</v>
      </c>
      <c r="H11" s="116">
        <f t="shared" si="0"/>
        <v>42414.946450555552</v>
      </c>
      <c r="I11" s="116">
        <f t="shared" si="0"/>
        <v>43338.1105871256</v>
      </c>
      <c r="J11" s="116">
        <f t="shared" si="0"/>
        <v>45747.659123188787</v>
      </c>
      <c r="L11" s="21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AB0B-94FC-40A4-96E8-6B4DC094339C}">
  <sheetPr>
    <tabColor theme="7" tint="0.79998168889431442"/>
  </sheetPr>
  <dimension ref="A4:J11"/>
  <sheetViews>
    <sheetView showGridLines="0" workbookViewId="0">
      <pane ySplit="3" topLeftCell="A4" activePane="bottomLeft" state="frozen"/>
      <selection pane="bottomLeft" activeCell="A21" sqref="A21"/>
    </sheetView>
  </sheetViews>
  <sheetFormatPr baseColWidth="10" defaultRowHeight="14.4" x14ac:dyDescent="0.3"/>
  <cols>
    <col min="1" max="1" width="39.44140625" customWidth="1"/>
  </cols>
  <sheetData>
    <row r="4" spans="1:10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131" t="s">
        <v>34</v>
      </c>
      <c r="B5" s="36">
        <f>-ER!B15</f>
        <v>976</v>
      </c>
      <c r="C5" s="36">
        <f>-ER!C15</f>
        <v>1187</v>
      </c>
      <c r="D5" s="36">
        <f>-ER!D15</f>
        <v>814</v>
      </c>
      <c r="E5" s="36">
        <f>-ER!E15</f>
        <v>1449</v>
      </c>
      <c r="F5" s="36">
        <f>-ER!F15</f>
        <v>1337</v>
      </c>
      <c r="G5" s="36">
        <f>-ER!G15</f>
        <v>1106</v>
      </c>
      <c r="H5" s="36">
        <f>+H11*Supuestos!$C$50</f>
        <v>1623.4588941210402</v>
      </c>
      <c r="I5" s="36">
        <f>+I11*Supuestos!$C$50</f>
        <v>1700.0256883327395</v>
      </c>
      <c r="J5" s="36">
        <f>+J11*Supuestos!$C$50</f>
        <v>1789.9359006161408</v>
      </c>
    </row>
    <row r="8" spans="1:10" x14ac:dyDescent="0.3">
      <c r="A8" s="7" t="s">
        <v>0</v>
      </c>
      <c r="B8" s="7">
        <v>2019</v>
      </c>
      <c r="C8" s="7">
        <v>2020</v>
      </c>
      <c r="D8" s="7">
        <v>2021</v>
      </c>
      <c r="E8" s="7">
        <v>2022</v>
      </c>
      <c r="F8" s="7">
        <v>2023</v>
      </c>
      <c r="G8" s="7">
        <v>2024</v>
      </c>
      <c r="H8" s="13">
        <v>2025</v>
      </c>
      <c r="I8" s="13">
        <v>2026</v>
      </c>
      <c r="J8" s="13">
        <v>2027</v>
      </c>
    </row>
    <row r="9" spans="1:10" x14ac:dyDescent="0.3">
      <c r="A9" s="131" t="s">
        <v>53</v>
      </c>
      <c r="B9" s="36">
        <f>+ESF!B33</f>
        <v>875</v>
      </c>
      <c r="C9" s="36">
        <f>+ESF!C33</f>
        <v>4076</v>
      </c>
      <c r="D9" s="36">
        <f>+ESF!D33</f>
        <v>3088</v>
      </c>
      <c r="E9" s="36">
        <f>+ESF!E33</f>
        <v>2781</v>
      </c>
      <c r="F9" s="36">
        <f>+ESF!F33</f>
        <v>3019</v>
      </c>
      <c r="G9" s="36">
        <f>+ESF!G33</f>
        <v>3028</v>
      </c>
      <c r="H9" s="36">
        <f>+ESF!H33</f>
        <v>3986.2339608885677</v>
      </c>
      <c r="I9" s="36">
        <f>+ESF!I33</f>
        <v>4174.2357368918265</v>
      </c>
      <c r="J9" s="36">
        <f>+ESF!J33</f>
        <v>4395.0008840308546</v>
      </c>
    </row>
    <row r="10" spans="1:10" x14ac:dyDescent="0.3">
      <c r="A10" s="131" t="s">
        <v>53</v>
      </c>
      <c r="B10" s="36">
        <f>+ESF!B37</f>
        <v>2934</v>
      </c>
      <c r="C10" s="36">
        <f>+ESF!C37</f>
        <v>6246</v>
      </c>
      <c r="D10" s="36">
        <f>+ESF!D37</f>
        <v>3237</v>
      </c>
      <c r="E10" s="36">
        <f>+ESF!E37</f>
        <v>6168</v>
      </c>
      <c r="F10" s="36">
        <f>+ESF!F37</f>
        <v>3250</v>
      </c>
      <c r="G10" s="36">
        <f>+ESF!G37</f>
        <v>10725</v>
      </c>
      <c r="H10" s="36">
        <f>+ESF!H37</f>
        <v>7693.3264284714323</v>
      </c>
      <c r="I10" s="36">
        <f>+ESF!I37</f>
        <v>8056.1648985955062</v>
      </c>
      <c r="J10" s="36">
        <f>+ESF!J37</f>
        <v>8482.2358110492933</v>
      </c>
    </row>
    <row r="11" spans="1:10" x14ac:dyDescent="0.3">
      <c r="A11" s="131" t="s">
        <v>224</v>
      </c>
      <c r="B11" s="36">
        <f>+SUM(B9:B10)</f>
        <v>3809</v>
      </c>
      <c r="C11" s="36">
        <f t="shared" ref="C11:J11" si="0">+SUM(C9:C10)</f>
        <v>10322</v>
      </c>
      <c r="D11" s="36">
        <f t="shared" si="0"/>
        <v>6325</v>
      </c>
      <c r="E11" s="36">
        <f t="shared" ref="E11:G11" si="1">+SUM(E9:E10)</f>
        <v>8949</v>
      </c>
      <c r="F11" s="36">
        <f t="shared" si="1"/>
        <v>6269</v>
      </c>
      <c r="G11" s="36">
        <f t="shared" si="1"/>
        <v>13753</v>
      </c>
      <c r="H11" s="36">
        <f t="shared" si="0"/>
        <v>11679.56038936</v>
      </c>
      <c r="I11" s="36">
        <f t="shared" si="0"/>
        <v>12230.400635487333</v>
      </c>
      <c r="J11" s="36">
        <f t="shared" si="0"/>
        <v>12877.236695080148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E84A-1D6B-4450-9A31-58E3552F498B}">
  <sheetPr>
    <tabColor theme="7" tint="0.79998168889431442"/>
  </sheetPr>
  <dimension ref="A1:J8"/>
  <sheetViews>
    <sheetView showGridLines="0" workbookViewId="0">
      <pane ySplit="3" topLeftCell="A4" activePane="bottomLeft" state="frozen"/>
      <selection pane="bottomLeft" activeCell="A14" sqref="A14"/>
    </sheetView>
  </sheetViews>
  <sheetFormatPr baseColWidth="10" defaultRowHeight="14.4" x14ac:dyDescent="0.3"/>
  <cols>
    <col min="1" max="1" width="26.88671875" bestFit="1" customWidth="1"/>
    <col min="2" max="2" width="12" bestFit="1" customWidth="1"/>
  </cols>
  <sheetData>
    <row r="1" spans="1:10" x14ac:dyDescent="0.3"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B2" s="23"/>
      <c r="C2" s="23"/>
      <c r="D2" s="23"/>
      <c r="E2" s="23"/>
      <c r="F2" s="23"/>
      <c r="G2" s="23"/>
    </row>
    <row r="3" spans="1:10" x14ac:dyDescent="0.3">
      <c r="B3" s="23"/>
      <c r="C3" s="23"/>
      <c r="D3" s="23"/>
      <c r="E3" s="23"/>
      <c r="F3" s="23"/>
      <c r="G3" s="23"/>
    </row>
    <row r="4" spans="1:10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21" t="s">
        <v>59</v>
      </c>
      <c r="B5" s="20">
        <f>+ER!B6</f>
        <v>199619</v>
      </c>
      <c r="C5" s="20">
        <f>+ER!C6</f>
        <v>187321</v>
      </c>
      <c r="D5" s="20">
        <f>+ER!D6</f>
        <v>330211</v>
      </c>
      <c r="E5" s="20">
        <f>+ER!E6</f>
        <v>424158</v>
      </c>
      <c r="F5" s="20">
        <f>+ER!F6</f>
        <v>400661</v>
      </c>
      <c r="G5" s="20">
        <f>+ER!G6</f>
        <v>452250</v>
      </c>
      <c r="H5" s="20">
        <f>+ER!H6</f>
        <v>470950.01569999999</v>
      </c>
      <c r="I5" s="20">
        <f>+ER!I6</f>
        <v>493161.3159470699</v>
      </c>
      <c r="J5" s="20">
        <f>+ER!J6</f>
        <v>519243.41512419953</v>
      </c>
    </row>
    <row r="6" spans="1:10" x14ac:dyDescent="0.3">
      <c r="B6" s="18"/>
      <c r="C6" s="18"/>
      <c r="D6" s="18"/>
      <c r="E6" s="18"/>
      <c r="F6" s="18"/>
      <c r="G6" s="18"/>
    </row>
    <row r="7" spans="1:10" x14ac:dyDescent="0.3">
      <c r="A7" s="7" t="s">
        <v>0</v>
      </c>
      <c r="B7" s="7">
        <v>2019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13">
        <v>2025</v>
      </c>
      <c r="I7" s="13">
        <v>2026</v>
      </c>
      <c r="J7" s="13">
        <v>2027</v>
      </c>
    </row>
    <row r="8" spans="1:10" x14ac:dyDescent="0.3">
      <c r="A8" s="21" t="str">
        <f>+ER!A12</f>
        <v>Otros Gastos Operativos</v>
      </c>
      <c r="B8" s="32">
        <f>-ER!B12</f>
        <v>11</v>
      </c>
      <c r="C8" s="32">
        <f>-ER!C12</f>
        <v>10</v>
      </c>
      <c r="D8" s="32">
        <f>-ER!D12</f>
        <v>41</v>
      </c>
      <c r="E8" s="32">
        <f>-ER!E12</f>
        <v>50</v>
      </c>
      <c r="F8" s="32">
        <f>-ER!F12</f>
        <v>36</v>
      </c>
      <c r="G8" s="32">
        <f>-ER!G12</f>
        <v>34</v>
      </c>
      <c r="H8" s="32">
        <f>+H5*Supuestos!$C$48</f>
        <v>42.385501413</v>
      </c>
      <c r="I8" s="32">
        <f>+I5*Supuestos!$C$48</f>
        <v>44.384518435236295</v>
      </c>
      <c r="J8" s="32">
        <f>+J5*Supuestos!$C$48</f>
        <v>46.73190736117796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29F7-05F1-4221-BF2A-7FFF593A30BC}">
  <sheetPr>
    <tabColor theme="7" tint="0.79998168889431442"/>
  </sheetPr>
  <dimension ref="A1:J11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48.77734375" customWidth="1"/>
    <col min="2" max="7" width="12.77734375" customWidth="1"/>
    <col min="8" max="10" width="14.6640625" bestFit="1" customWidth="1"/>
  </cols>
  <sheetData>
    <row r="1" spans="1:10" x14ac:dyDescent="0.3">
      <c r="I1" s="87"/>
    </row>
    <row r="2" spans="1:10" x14ac:dyDescent="0.3">
      <c r="I2" s="87"/>
    </row>
    <row r="3" spans="1:10" x14ac:dyDescent="0.3">
      <c r="B3" s="38"/>
      <c r="C3" s="38"/>
      <c r="D3" s="38"/>
      <c r="E3" s="38"/>
      <c r="F3" s="38"/>
      <c r="G3" s="38"/>
    </row>
    <row r="4" spans="1:10" x14ac:dyDescent="0.3">
      <c r="A4" s="7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2" t="s">
        <v>43</v>
      </c>
      <c r="B5" s="5">
        <f>+ER!B6</f>
        <v>199619</v>
      </c>
      <c r="C5" s="5">
        <f>+ER!C6</f>
        <v>187321</v>
      </c>
      <c r="D5" s="5">
        <f>+ER!D6</f>
        <v>330211</v>
      </c>
      <c r="E5" s="5">
        <f>+ER!E6</f>
        <v>424158</v>
      </c>
      <c r="F5" s="5">
        <f>+ER!F6</f>
        <v>400661</v>
      </c>
      <c r="G5" s="5">
        <f>+ER!G6</f>
        <v>452250</v>
      </c>
      <c r="H5" s="5">
        <f>+ER!H6</f>
        <v>470950.01569999999</v>
      </c>
      <c r="I5" s="5">
        <f>+ER!I6</f>
        <v>493161.3159470699</v>
      </c>
      <c r="J5" s="5">
        <f>+ER!J6</f>
        <v>519243.41512419953</v>
      </c>
    </row>
    <row r="6" spans="1:10" x14ac:dyDescent="0.3">
      <c r="A6" s="8" t="s">
        <v>29</v>
      </c>
      <c r="B6" s="19">
        <f>-'Costo de Ventas'!C15</f>
        <v>-156744</v>
      </c>
      <c r="C6" s="19">
        <f>-'Costo de Ventas'!D15</f>
        <v>-155190</v>
      </c>
      <c r="D6" s="19">
        <f>-'Costo de Ventas'!E15</f>
        <v>-281942</v>
      </c>
      <c r="E6" s="19">
        <f>-'Costo de Ventas'!F15</f>
        <v>-363778</v>
      </c>
      <c r="F6" s="19">
        <f>-'Costo de Ventas'!G15</f>
        <v>-345224</v>
      </c>
      <c r="G6" s="19">
        <f>-'Costo de Ventas'!H15</f>
        <v>-394892</v>
      </c>
      <c r="H6" s="19">
        <f>-'Costo de Ventas'!I15</f>
        <v>-400919.74836540996</v>
      </c>
      <c r="I6" s="19">
        <f>-'Costo de Ventas'!J15</f>
        <v>-419828.22826574056</v>
      </c>
      <c r="J6" s="19">
        <f>-'Costo de Ventas'!K15</f>
        <v>-442031.91929523106</v>
      </c>
    </row>
    <row r="7" spans="1:10" x14ac:dyDescent="0.3">
      <c r="A7" s="2" t="s">
        <v>30</v>
      </c>
      <c r="B7" s="5">
        <f>+SUM(B5:B6)</f>
        <v>42875</v>
      </c>
      <c r="C7" s="5">
        <f t="shared" ref="C7:J7" si="0">+SUM(C5:C6)</f>
        <v>32131</v>
      </c>
      <c r="D7" s="5">
        <f t="shared" si="0"/>
        <v>48269</v>
      </c>
      <c r="E7" s="5">
        <f t="shared" ref="E7" si="1">+SUM(E5:E6)</f>
        <v>60380</v>
      </c>
      <c r="F7" s="5">
        <f t="shared" si="0"/>
        <v>55437</v>
      </c>
      <c r="G7" s="5">
        <f t="shared" si="0"/>
        <v>57358</v>
      </c>
      <c r="H7" s="5">
        <f t="shared" si="0"/>
        <v>70030.267334590026</v>
      </c>
      <c r="I7" s="5">
        <f t="shared" si="0"/>
        <v>73333.087681329343</v>
      </c>
      <c r="J7" s="5">
        <f t="shared" si="0"/>
        <v>77211.495828968473</v>
      </c>
    </row>
    <row r="8" spans="1:10" x14ac:dyDescent="0.3">
      <c r="A8" s="8" t="s">
        <v>31</v>
      </c>
      <c r="B8" s="19">
        <f>-'Gasto de Ventas'!B18</f>
        <v>-4488</v>
      </c>
      <c r="C8" s="19">
        <f>-'Gasto de Ventas'!C18</f>
        <v>-3430</v>
      </c>
      <c r="D8" s="19">
        <f>-'Gasto de Ventas'!D18</f>
        <v>-5744</v>
      </c>
      <c r="E8" s="19">
        <f>-'Gasto de Ventas'!E18</f>
        <v>-7342</v>
      </c>
      <c r="F8" s="19">
        <f>-'Gasto de Ventas'!F18</f>
        <v>-5856</v>
      </c>
      <c r="G8" s="19">
        <f>-'Gasto de Ventas'!G18</f>
        <v>-5513</v>
      </c>
      <c r="H8" s="19">
        <f>-'Gasto de Ventas'!H18</f>
        <v>-7142.5857928699988</v>
      </c>
      <c r="I8" s="19">
        <f>-'Gasto de Ventas'!I18</f>
        <v>-7441.8726931621059</v>
      </c>
      <c r="J8" s="19">
        <f>-'Gasto de Ventas'!J18</f>
        <v>-7792.2121828177633</v>
      </c>
    </row>
    <row r="9" spans="1:10" x14ac:dyDescent="0.3">
      <c r="A9" s="8" t="s">
        <v>32</v>
      </c>
      <c r="B9" s="19">
        <f>-'Gasto de Administración'!B20</f>
        <v>-6711</v>
      </c>
      <c r="C9" s="19">
        <f>-'Gasto de Administración'!C20</f>
        <v>-6725</v>
      </c>
      <c r="D9" s="19">
        <f>-'Gasto de Administración'!D20</f>
        <v>-9543</v>
      </c>
      <c r="E9" s="19">
        <f>-'Gasto de Administración'!E20</f>
        <v>-11225</v>
      </c>
      <c r="F9" s="19">
        <f>-'Gasto de Administración'!F20</f>
        <v>-12138</v>
      </c>
      <c r="G9" s="19">
        <f>-'Gasto de Administración'!G20</f>
        <v>-10647</v>
      </c>
      <c r="H9" s="19">
        <f>-'Gasto de Administración'!H20</f>
        <v>-13075.472896140001</v>
      </c>
      <c r="I9" s="19">
        <f>-'Gasto de Administración'!I20</f>
        <v>-13589.57360743169</v>
      </c>
      <c r="J9" s="19">
        <f>-'Gasto de Administración'!J20</f>
        <v>-14190.668581429267</v>
      </c>
    </row>
    <row r="10" spans="1:10" x14ac:dyDescent="0.3">
      <c r="A10" s="189" t="s">
        <v>163</v>
      </c>
      <c r="B10" s="19">
        <f>-'Gasto de Personal'!B40</f>
        <v>-13405</v>
      </c>
      <c r="C10" s="19">
        <f>-'Gasto de Personal'!C40</f>
        <v>-10917</v>
      </c>
      <c r="D10" s="19">
        <f>-'Gasto de Personal'!D40</f>
        <v>-10018</v>
      </c>
      <c r="E10" s="19">
        <f>-'Gasto de Personal'!E40</f>
        <v>-11853</v>
      </c>
      <c r="F10" s="19">
        <f>-'Gasto de Personal'!F40</f>
        <v>-12301</v>
      </c>
      <c r="G10" s="19">
        <f>-'Gasto de Personal'!G40</f>
        <v>-12559</v>
      </c>
      <c r="H10" s="19">
        <f>-'Gasto de Personal'!H40</f>
        <v>-13114.73346720418</v>
      </c>
      <c r="I10" s="19">
        <f>-'Gasto de Personal'!I40</f>
        <v>-13733.260429704435</v>
      </c>
      <c r="J10" s="19">
        <f>-'Gasto de Personal'!J40</f>
        <v>-14459.579078329634</v>
      </c>
    </row>
    <row r="11" spans="1:10" x14ac:dyDescent="0.3">
      <c r="A11" s="8" t="s">
        <v>44</v>
      </c>
      <c r="B11" s="19">
        <f>+ER!B11</f>
        <v>1430</v>
      </c>
      <c r="C11" s="19">
        <f>+ER!C11</f>
        <v>1875</v>
      </c>
      <c r="D11" s="19">
        <f>+ER!D11</f>
        <v>1341</v>
      </c>
      <c r="E11" s="19">
        <f>+ER!E11</f>
        <v>850</v>
      </c>
      <c r="F11" s="19">
        <f>+ER!F11</f>
        <v>5634</v>
      </c>
      <c r="G11" s="19">
        <f>+ER!G11</f>
        <v>1881</v>
      </c>
      <c r="H11" s="19">
        <f>+ER!H11</f>
        <v>2169</v>
      </c>
      <c r="I11" s="19">
        <f>+ER!I11</f>
        <v>2169</v>
      </c>
      <c r="J11" s="19">
        <f>+ER!J11</f>
        <v>2169</v>
      </c>
    </row>
    <row r="12" spans="1:10" x14ac:dyDescent="0.3">
      <c r="A12" s="8" t="s">
        <v>45</v>
      </c>
      <c r="B12" s="19">
        <f>+ER!B12</f>
        <v>-11</v>
      </c>
      <c r="C12" s="19">
        <f>+ER!C12</f>
        <v>-10</v>
      </c>
      <c r="D12" s="19">
        <f>+ER!D12</f>
        <v>-41</v>
      </c>
      <c r="E12" s="19">
        <f>+ER!E12</f>
        <v>-50</v>
      </c>
      <c r="F12" s="19">
        <f>+ER!F12</f>
        <v>-36</v>
      </c>
      <c r="G12" s="19">
        <f>+ER!G12</f>
        <v>-34</v>
      </c>
      <c r="H12" s="19">
        <f>+ER!H12</f>
        <v>-42.385501413</v>
      </c>
      <c r="I12" s="19">
        <f>+ER!I12</f>
        <v>-44.384518435236295</v>
      </c>
      <c r="J12" s="19">
        <f>+ER!J12</f>
        <v>-46.73190736117796</v>
      </c>
    </row>
    <row r="13" spans="1:10" x14ac:dyDescent="0.3">
      <c r="A13" s="2" t="s">
        <v>46</v>
      </c>
      <c r="B13" s="5">
        <f>+SUM(B7:B12)</f>
        <v>19690</v>
      </c>
      <c r="C13" s="5">
        <f t="shared" ref="C13:J13" si="2">+SUM(C7:C12)</f>
        <v>12924</v>
      </c>
      <c r="D13" s="5">
        <f t="shared" si="2"/>
        <v>24264</v>
      </c>
      <c r="E13" s="5">
        <f t="shared" ref="E13" si="3">+SUM(E7:E12)</f>
        <v>30760</v>
      </c>
      <c r="F13" s="5">
        <f t="shared" si="2"/>
        <v>30740</v>
      </c>
      <c r="G13" s="5">
        <f t="shared" si="2"/>
        <v>30486</v>
      </c>
      <c r="H13" s="5">
        <f t="shared" si="2"/>
        <v>38824.089676962838</v>
      </c>
      <c r="I13" s="5">
        <f t="shared" si="2"/>
        <v>40692.996432595872</v>
      </c>
      <c r="J13" s="5">
        <f t="shared" si="2"/>
        <v>42891.304079030633</v>
      </c>
    </row>
    <row r="14" spans="1:10" x14ac:dyDescent="0.3">
      <c r="A14" s="8" t="s">
        <v>33</v>
      </c>
      <c r="B14" s="19">
        <f>+ER!B14</f>
        <v>386</v>
      </c>
      <c r="C14" s="19">
        <f>+ER!C14</f>
        <v>843</v>
      </c>
      <c r="D14" s="19">
        <f>+ER!D14</f>
        <v>2507</v>
      </c>
      <c r="E14" s="19">
        <f>+ER!E14</f>
        <v>1351</v>
      </c>
      <c r="F14" s="19">
        <f>+ER!F14</f>
        <v>4855</v>
      </c>
      <c r="G14" s="19">
        <f>+ER!G14</f>
        <v>5148</v>
      </c>
      <c r="H14" s="19">
        <f>+ER!H14</f>
        <v>3062.3591337301109</v>
      </c>
      <c r="I14" s="19">
        <f>+ER!I14</f>
        <v>3129.0115843904682</v>
      </c>
      <c r="J14" s="19">
        <f>+ER!J14</f>
        <v>3302.9809886942303</v>
      </c>
    </row>
    <row r="15" spans="1:10" x14ac:dyDescent="0.3">
      <c r="A15" s="8" t="s">
        <v>34</v>
      </c>
      <c r="B15" s="19">
        <f>+ER!B15</f>
        <v>-976</v>
      </c>
      <c r="C15" s="19">
        <f>+ER!C15</f>
        <v>-1187</v>
      </c>
      <c r="D15" s="19">
        <f>+ER!D15</f>
        <v>-814</v>
      </c>
      <c r="E15" s="19">
        <f>+ER!E15</f>
        <v>-1449</v>
      </c>
      <c r="F15" s="19">
        <f>+ER!F15</f>
        <v>-1337</v>
      </c>
      <c r="G15" s="19">
        <f>+ER!G15</f>
        <v>-1106</v>
      </c>
      <c r="H15" s="19">
        <f>+ER!H15</f>
        <v>-1623.4588941210402</v>
      </c>
      <c r="I15" s="19">
        <f>+ER!I15</f>
        <v>-1700.0256883327395</v>
      </c>
      <c r="J15" s="19">
        <f>+ER!J15</f>
        <v>-1789.9359006161408</v>
      </c>
    </row>
    <row r="16" spans="1:10" x14ac:dyDescent="0.3">
      <c r="A16" s="8" t="s">
        <v>47</v>
      </c>
      <c r="B16" s="19">
        <f>+ER!B16</f>
        <v>-94</v>
      </c>
      <c r="C16" s="19">
        <f>+ER!C16</f>
        <v>-565</v>
      </c>
      <c r="D16" s="19">
        <f>+ER!D16</f>
        <v>-1076</v>
      </c>
      <c r="E16" s="19">
        <f>+ER!E16</f>
        <v>347</v>
      </c>
      <c r="F16" s="19">
        <f>+ER!F16</f>
        <v>297</v>
      </c>
      <c r="G16" s="19">
        <f>+ER!G16</f>
        <v>37</v>
      </c>
      <c r="H16" s="19">
        <f>+ER!H16</f>
        <v>-176</v>
      </c>
      <c r="I16" s="19">
        <f>+ER!I16</f>
        <v>-176</v>
      </c>
      <c r="J16" s="19">
        <f>+ER!J16</f>
        <v>-176</v>
      </c>
    </row>
    <row r="17" spans="1:10" x14ac:dyDescent="0.3">
      <c r="A17" s="2" t="s">
        <v>164</v>
      </c>
      <c r="B17" s="5">
        <f>+SUM(B13:B16)</f>
        <v>19006</v>
      </c>
      <c r="C17" s="5">
        <f t="shared" ref="C17:J17" si="4">+SUM(C13:C16)</f>
        <v>12015</v>
      </c>
      <c r="D17" s="5">
        <f t="shared" si="4"/>
        <v>24881</v>
      </c>
      <c r="E17" s="5">
        <f t="shared" ref="E17" si="5">+SUM(E13:E16)</f>
        <v>31009</v>
      </c>
      <c r="F17" s="5">
        <f t="shared" si="4"/>
        <v>34555</v>
      </c>
      <c r="G17" s="5">
        <f t="shared" si="4"/>
        <v>34565</v>
      </c>
      <c r="H17" s="144">
        <f t="shared" si="4"/>
        <v>40086.989916571911</v>
      </c>
      <c r="I17" s="144">
        <f t="shared" si="4"/>
        <v>41945.982328653605</v>
      </c>
      <c r="J17" s="144">
        <f t="shared" si="4"/>
        <v>44228.349167108725</v>
      </c>
    </row>
    <row r="18" spans="1:10" x14ac:dyDescent="0.3">
      <c r="A18" s="8" t="str">
        <f>+'Gasto de Personal'!A9</f>
        <v>Participación a los trabajadores</v>
      </c>
      <c r="B18" s="19">
        <f>-'Gasto de Personal'!B9</f>
        <v>-2176</v>
      </c>
      <c r="C18" s="19">
        <f>-'Gasto de Personal'!C9</f>
        <v>-1483</v>
      </c>
      <c r="D18" s="19">
        <f>-'Gasto de Personal'!D9</f>
        <v>-2757</v>
      </c>
      <c r="E18" s="19">
        <f>-'Gasto de Personal'!E9</f>
        <v>-3471</v>
      </c>
      <c r="F18" s="19">
        <f>-'Gasto de Personal'!F9</f>
        <v>-3110</v>
      </c>
      <c r="G18" s="19">
        <f>-'Gasto de Personal'!G9</f>
        <v>-3191</v>
      </c>
      <c r="H18" s="19">
        <f>-H17*Supuestos!$C$54</f>
        <v>-4157.0208543485069</v>
      </c>
      <c r="I18" s="19">
        <f>-I17*Supuestos!$C$54</f>
        <v>-4349.7983674813786</v>
      </c>
      <c r="J18" s="19">
        <f>-J17*Supuestos!$C$54</f>
        <v>-4586.4798086291748</v>
      </c>
    </row>
    <row r="19" spans="1:10" x14ac:dyDescent="0.3">
      <c r="A19" s="2" t="s">
        <v>48</v>
      </c>
      <c r="B19" s="190">
        <f>+B17+B18</f>
        <v>16830</v>
      </c>
      <c r="C19" s="190">
        <f t="shared" ref="C19:J19" si="6">+C17+C18</f>
        <v>10532</v>
      </c>
      <c r="D19" s="190">
        <f t="shared" si="6"/>
        <v>22124</v>
      </c>
      <c r="E19" s="190">
        <f t="shared" ref="E19" si="7">+E17+E18</f>
        <v>27538</v>
      </c>
      <c r="F19" s="190">
        <f t="shared" si="6"/>
        <v>31445</v>
      </c>
      <c r="G19" s="190">
        <f t="shared" si="6"/>
        <v>31374</v>
      </c>
      <c r="H19" s="5">
        <f t="shared" si="6"/>
        <v>35929.969062223405</v>
      </c>
      <c r="I19" s="5">
        <f t="shared" si="6"/>
        <v>37596.183961172224</v>
      </c>
      <c r="J19" s="5">
        <f t="shared" si="6"/>
        <v>39641.869358479547</v>
      </c>
    </row>
    <row r="20" spans="1:10" x14ac:dyDescent="0.3">
      <c r="A20" s="6" t="s">
        <v>50</v>
      </c>
      <c r="B20" s="19">
        <f>ER!B18</f>
        <v>-5165</v>
      </c>
      <c r="C20" s="19">
        <f>ER!C18</f>
        <v>-4347</v>
      </c>
      <c r="D20" s="19">
        <f>ER!D18</f>
        <v>-7876</v>
      </c>
      <c r="E20" s="19">
        <f>ER!E18</f>
        <v>-7188</v>
      </c>
      <c r="F20" s="19">
        <f>ER!F18</f>
        <v>-7475</v>
      </c>
      <c r="G20" s="19">
        <f>ER!G18</f>
        <v>-9227</v>
      </c>
      <c r="H20" s="19">
        <f>ER!H18</f>
        <v>-10606.526867168352</v>
      </c>
      <c r="I20" s="19">
        <f>ER!I18</f>
        <v>-11098.393505338041</v>
      </c>
      <c r="J20" s="19">
        <f>ER!J18</f>
        <v>-11702.279834623161</v>
      </c>
    </row>
    <row r="21" spans="1:10" x14ac:dyDescent="0.3">
      <c r="A21" s="2" t="s">
        <v>49</v>
      </c>
      <c r="B21" s="190">
        <f>+SUM(B19:B20)</f>
        <v>11665</v>
      </c>
      <c r="C21" s="190">
        <f t="shared" ref="C21:J21" si="8">+SUM(C19:C20)</f>
        <v>6185</v>
      </c>
      <c r="D21" s="190">
        <f t="shared" si="8"/>
        <v>14248</v>
      </c>
      <c r="E21" s="190">
        <f t="shared" ref="E21" si="9">+SUM(E19:E20)</f>
        <v>20350</v>
      </c>
      <c r="F21" s="190">
        <f t="shared" si="8"/>
        <v>23970</v>
      </c>
      <c r="G21" s="190">
        <f t="shared" si="8"/>
        <v>22147</v>
      </c>
      <c r="H21" s="5">
        <f t="shared" si="8"/>
        <v>25323.442195055053</v>
      </c>
      <c r="I21" s="5">
        <f t="shared" si="8"/>
        <v>26497.790455834183</v>
      </c>
      <c r="J21" s="5">
        <f t="shared" si="8"/>
        <v>27939.589523856386</v>
      </c>
    </row>
    <row r="22" spans="1:10" x14ac:dyDescent="0.3">
      <c r="B22" s="15">
        <f>+B21-ER!B19</f>
        <v>0</v>
      </c>
      <c r="C22" s="15">
        <f>+C21-ER!C19</f>
        <v>0</v>
      </c>
      <c r="D22" s="15">
        <f>+D21-ER!D19</f>
        <v>0</v>
      </c>
      <c r="E22" s="15">
        <f>+E21-ER!E19</f>
        <v>0</v>
      </c>
      <c r="F22" s="15">
        <f>+F21-ER!F19</f>
        <v>0</v>
      </c>
      <c r="G22" s="15">
        <f>+G21-ER!G19</f>
        <v>0</v>
      </c>
      <c r="H22" s="15"/>
      <c r="I22" s="15"/>
      <c r="J22" s="15"/>
    </row>
    <row r="23" spans="1:10" x14ac:dyDescent="0.3">
      <c r="A23" s="137" t="s">
        <v>159</v>
      </c>
      <c r="B23" s="138">
        <f>-B20/B19</f>
        <v>0.30689245395127746</v>
      </c>
      <c r="C23" s="138">
        <f t="shared" ref="C23:J23" si="10">-C20/C19</f>
        <v>0.412742119255602</v>
      </c>
      <c r="D23" s="138">
        <f t="shared" si="10"/>
        <v>0.35599349123124208</v>
      </c>
      <c r="E23" s="138">
        <f t="shared" ref="E23" si="11">-E20/E19</f>
        <v>0.26102113443242064</v>
      </c>
      <c r="F23" s="138">
        <f t="shared" si="10"/>
        <v>0.23771664811575768</v>
      </c>
      <c r="G23" s="138">
        <f t="shared" si="10"/>
        <v>0.29409702301268564</v>
      </c>
      <c r="H23" s="138">
        <f t="shared" si="10"/>
        <v>0.29520000000000007</v>
      </c>
      <c r="I23" s="138">
        <f t="shared" si="10"/>
        <v>0.29520000000000002</v>
      </c>
      <c r="J23" s="138">
        <f t="shared" si="10"/>
        <v>0.29519999999999996</v>
      </c>
    </row>
    <row r="24" spans="1:10" x14ac:dyDescent="0.3">
      <c r="A24" s="137" t="s">
        <v>246</v>
      </c>
      <c r="B24" s="138">
        <f t="shared" ref="B24:G24" si="12">(-B18-B20)/B17</f>
        <v>0.38624644848995054</v>
      </c>
      <c r="C24" s="138">
        <f t="shared" si="12"/>
        <v>0.48522679983354139</v>
      </c>
      <c r="D24" s="138">
        <f t="shared" si="12"/>
        <v>0.42735420602065832</v>
      </c>
      <c r="E24" s="138">
        <f t="shared" si="12"/>
        <v>0.34373891450869104</v>
      </c>
      <c r="F24" s="138">
        <f t="shared" si="12"/>
        <v>0.30632325278541456</v>
      </c>
      <c r="G24" s="138">
        <f t="shared" si="12"/>
        <v>0.35926515261102271</v>
      </c>
      <c r="H24" s="138">
        <f>(-H18-H20)/H17</f>
        <v>0.36828776000000002</v>
      </c>
      <c r="I24" s="138">
        <f t="shared" ref="I24:J24" si="13">(-I18-I20)/I17</f>
        <v>0.36828776000000002</v>
      </c>
      <c r="J24" s="138">
        <f t="shared" si="13"/>
        <v>0.36828775999999991</v>
      </c>
    </row>
    <row r="25" spans="1:10" x14ac:dyDescent="0.3">
      <c r="B25" t="b">
        <f>+B21=ER!B19</f>
        <v>1</v>
      </c>
      <c r="C25" t="b">
        <f>+C21=ER!C19</f>
        <v>1</v>
      </c>
      <c r="D25" t="b">
        <f>+D21=ER!D19</f>
        <v>1</v>
      </c>
      <c r="E25" t="b">
        <f>+E21=ER!E19</f>
        <v>1</v>
      </c>
      <c r="F25" t="b">
        <f>+F21=ER!F19</f>
        <v>1</v>
      </c>
      <c r="G25" t="b">
        <f>+G21=ER!G19</f>
        <v>1</v>
      </c>
      <c r="H25" s="17"/>
      <c r="I25" s="17"/>
      <c r="J25" s="17"/>
    </row>
    <row r="26" spans="1:10" x14ac:dyDescent="0.3">
      <c r="B26" s="14"/>
      <c r="C26" s="14"/>
      <c r="D26" s="14"/>
      <c r="E26" s="17"/>
      <c r="F26" s="17"/>
      <c r="G26" s="17"/>
      <c r="H26" s="17"/>
      <c r="I26" s="17"/>
      <c r="J26" s="17"/>
    </row>
    <row r="27" spans="1:10" x14ac:dyDescent="0.3">
      <c r="B27" s="31"/>
      <c r="C27" s="17"/>
      <c r="D27" s="17"/>
      <c r="E27" s="17"/>
      <c r="F27" s="17"/>
      <c r="G27" s="17"/>
      <c r="H27" s="17"/>
      <c r="I27" s="17"/>
      <c r="J27" s="17"/>
    </row>
    <row r="28" spans="1:10" x14ac:dyDescent="0.3">
      <c r="A28" s="38"/>
      <c r="B28" s="15"/>
      <c r="C28" s="17"/>
      <c r="D28" s="17"/>
      <c r="E28" s="17"/>
      <c r="F28" s="17"/>
      <c r="G28" s="17"/>
      <c r="H28" s="17"/>
      <c r="I28" s="17"/>
      <c r="J28" s="17"/>
    </row>
    <row r="29" spans="1:10" x14ac:dyDescent="0.3">
      <c r="B29" s="15"/>
      <c r="C29" s="17"/>
      <c r="D29" s="17"/>
      <c r="E29" s="17"/>
      <c r="F29" s="17"/>
      <c r="G29" s="17"/>
      <c r="H29" s="17"/>
      <c r="I29" s="17"/>
      <c r="J29" s="17"/>
    </row>
    <row r="30" spans="1:10" x14ac:dyDescent="0.3">
      <c r="C30" s="17"/>
      <c r="D30" s="17"/>
      <c r="E30" s="17"/>
      <c r="F30" s="17"/>
      <c r="G30" s="17"/>
      <c r="H30" s="17"/>
      <c r="I30" s="17"/>
      <c r="J30" s="17"/>
    </row>
    <row r="31" spans="1:10" x14ac:dyDescent="0.3">
      <c r="B31" s="23"/>
      <c r="C31" s="23"/>
      <c r="D31" s="23"/>
      <c r="E31" s="23"/>
      <c r="F31" s="23"/>
      <c r="G31" s="23"/>
      <c r="H31" s="17"/>
      <c r="I31" s="17"/>
      <c r="J31" s="17"/>
    </row>
    <row r="32" spans="1:10" x14ac:dyDescent="0.3">
      <c r="C32" s="17"/>
      <c r="D32" s="17"/>
      <c r="E32" s="17"/>
      <c r="F32" s="17"/>
      <c r="G32" s="17"/>
      <c r="H32" s="17"/>
      <c r="I32" s="17"/>
      <c r="J32" s="17"/>
    </row>
    <row r="33" spans="3:10" x14ac:dyDescent="0.3">
      <c r="C33" s="17"/>
      <c r="D33" s="17"/>
      <c r="E33" s="17"/>
      <c r="F33" s="17"/>
      <c r="G33" s="17"/>
      <c r="H33" s="17"/>
      <c r="I33" s="17"/>
      <c r="J33" s="17"/>
    </row>
    <row r="34" spans="3:10" x14ac:dyDescent="0.3">
      <c r="C34" s="17"/>
      <c r="D34" s="17"/>
      <c r="E34" s="17"/>
      <c r="F34" s="17"/>
      <c r="G34" s="17"/>
      <c r="H34" s="17"/>
      <c r="I34" s="17"/>
      <c r="J34" s="17"/>
    </row>
    <row r="35" spans="3:10" x14ac:dyDescent="0.3">
      <c r="C35" s="17"/>
      <c r="D35" s="17"/>
      <c r="E35" s="17"/>
      <c r="F35" s="17"/>
      <c r="G35" s="17"/>
      <c r="H35" s="17"/>
      <c r="I35" s="17"/>
      <c r="J35" s="17"/>
    </row>
    <row r="36" spans="3:10" x14ac:dyDescent="0.3">
      <c r="C36" s="17"/>
      <c r="D36" s="17"/>
      <c r="E36" s="17"/>
      <c r="F36" s="17"/>
      <c r="G36" s="17"/>
      <c r="H36" s="17"/>
      <c r="I36" s="17"/>
      <c r="J36" s="17"/>
    </row>
    <row r="37" spans="3:10" x14ac:dyDescent="0.3">
      <c r="C37" s="17"/>
      <c r="D37" s="17"/>
      <c r="E37" s="17"/>
      <c r="F37" s="17"/>
      <c r="G37" s="17"/>
      <c r="H37" s="17"/>
      <c r="I37" s="17"/>
      <c r="J37" s="17"/>
    </row>
    <row r="38" spans="3:10" x14ac:dyDescent="0.3">
      <c r="C38" s="17"/>
      <c r="D38" s="17"/>
      <c r="E38" s="17"/>
      <c r="F38" s="17"/>
      <c r="G38" s="17"/>
      <c r="H38" s="17"/>
      <c r="I38" s="17"/>
      <c r="J38" s="17"/>
    </row>
    <row r="39" spans="3:10" x14ac:dyDescent="0.3">
      <c r="C39" s="17"/>
      <c r="D39" s="17"/>
      <c r="E39" s="17"/>
      <c r="F39" s="17"/>
      <c r="G39" s="17"/>
      <c r="H39" s="17"/>
      <c r="I39" s="17"/>
      <c r="J39" s="17"/>
    </row>
    <row r="40" spans="3:10" x14ac:dyDescent="0.3">
      <c r="C40" s="17"/>
      <c r="D40" s="17"/>
      <c r="E40" s="17"/>
      <c r="F40" s="17"/>
      <c r="G40" s="17"/>
      <c r="H40" s="17"/>
      <c r="I40" s="17"/>
      <c r="J40" s="17"/>
    </row>
    <row r="41" spans="3:10" x14ac:dyDescent="0.3">
      <c r="C41" s="17"/>
      <c r="D41" s="17"/>
      <c r="E41" s="17"/>
      <c r="F41" s="17"/>
      <c r="G41" s="17"/>
      <c r="H41" s="17"/>
      <c r="I41" s="17"/>
      <c r="J41" s="17"/>
    </row>
    <row r="42" spans="3:10" x14ac:dyDescent="0.3">
      <c r="C42" s="17"/>
      <c r="D42" s="17"/>
      <c r="E42" s="17"/>
      <c r="F42" s="17"/>
      <c r="G42" s="17"/>
      <c r="H42" s="17"/>
      <c r="I42" s="17"/>
      <c r="J42" s="17"/>
    </row>
    <row r="43" spans="3:10" x14ac:dyDescent="0.3">
      <c r="C43" s="17"/>
      <c r="D43" s="17"/>
      <c r="E43" s="17"/>
      <c r="F43" s="17"/>
      <c r="G43" s="17"/>
      <c r="H43" s="17"/>
      <c r="I43" s="17"/>
      <c r="J43" s="17"/>
    </row>
    <row r="44" spans="3:10" x14ac:dyDescent="0.3">
      <c r="C44" s="17"/>
      <c r="D44" s="17"/>
      <c r="E44" s="17"/>
      <c r="F44" s="17"/>
      <c r="G44" s="17"/>
      <c r="H44" s="17"/>
      <c r="I44" s="17"/>
      <c r="J44" s="17"/>
    </row>
    <row r="45" spans="3:10" x14ac:dyDescent="0.3">
      <c r="C45" s="17"/>
      <c r="D45" s="17"/>
      <c r="E45" s="17"/>
      <c r="F45" s="17"/>
      <c r="G45" s="17"/>
      <c r="H45" s="17"/>
      <c r="I45" s="17"/>
      <c r="J45" s="17"/>
    </row>
    <row r="46" spans="3:10" x14ac:dyDescent="0.3">
      <c r="C46" s="17"/>
      <c r="D46" s="17"/>
      <c r="E46" s="17"/>
      <c r="F46" s="17"/>
      <c r="G46" s="17"/>
      <c r="H46" s="17"/>
      <c r="I46" s="17"/>
      <c r="J46" s="17"/>
    </row>
    <row r="47" spans="3:10" x14ac:dyDescent="0.3">
      <c r="C47" s="17"/>
      <c r="D47" s="17"/>
      <c r="E47" s="17"/>
      <c r="F47" s="17"/>
      <c r="G47" s="17"/>
      <c r="H47" s="17"/>
      <c r="I47" s="17"/>
      <c r="J47" s="17"/>
    </row>
    <row r="48" spans="3:10" x14ac:dyDescent="0.3">
      <c r="C48" s="17"/>
      <c r="D48" s="17"/>
      <c r="E48" s="17"/>
      <c r="F48" s="17"/>
      <c r="G48" s="17"/>
      <c r="H48" s="17"/>
      <c r="I48" s="17"/>
      <c r="J48" s="17"/>
    </row>
    <row r="49" spans="3:10" x14ac:dyDescent="0.3">
      <c r="C49" s="17"/>
      <c r="D49" s="17"/>
      <c r="E49" s="17"/>
      <c r="F49" s="17"/>
      <c r="G49" s="17"/>
      <c r="H49" s="17"/>
      <c r="I49" s="17"/>
      <c r="J49" s="17"/>
    </row>
    <row r="50" spans="3:10" x14ac:dyDescent="0.3">
      <c r="C50" s="17"/>
      <c r="D50" s="17"/>
      <c r="E50" s="17"/>
      <c r="F50" s="17"/>
      <c r="G50" s="17"/>
      <c r="H50" s="17"/>
      <c r="I50" s="17"/>
      <c r="J50" s="17"/>
    </row>
    <row r="51" spans="3:10" x14ac:dyDescent="0.3">
      <c r="C51" s="17"/>
      <c r="D51" s="17"/>
      <c r="E51" s="17"/>
      <c r="F51" s="17"/>
      <c r="G51" s="17"/>
      <c r="H51" s="17"/>
      <c r="I51" s="17"/>
      <c r="J51" s="17"/>
    </row>
    <row r="52" spans="3:10" x14ac:dyDescent="0.3">
      <c r="C52" s="17"/>
      <c r="D52" s="17"/>
      <c r="E52" s="17"/>
      <c r="F52" s="17"/>
      <c r="G52" s="17"/>
      <c r="H52" s="17"/>
      <c r="I52" s="17"/>
      <c r="J52" s="17"/>
    </row>
    <row r="53" spans="3:10" x14ac:dyDescent="0.3">
      <c r="C53" s="17"/>
      <c r="D53" s="17"/>
      <c r="E53" s="17"/>
      <c r="F53" s="17"/>
      <c r="G53" s="17"/>
      <c r="H53" s="17"/>
      <c r="I53" s="17"/>
      <c r="J53" s="17"/>
    </row>
    <row r="54" spans="3:10" x14ac:dyDescent="0.3">
      <c r="C54" s="17"/>
      <c r="D54" s="17"/>
      <c r="E54" s="17"/>
      <c r="F54" s="17"/>
      <c r="G54" s="17"/>
      <c r="H54" s="17"/>
      <c r="I54" s="17"/>
      <c r="J54" s="17"/>
    </row>
    <row r="55" spans="3:10" x14ac:dyDescent="0.3">
      <c r="C55" s="17"/>
      <c r="D55" s="17"/>
      <c r="E55" s="17"/>
      <c r="F55" s="17"/>
      <c r="G55" s="17"/>
      <c r="H55" s="17"/>
      <c r="I55" s="17"/>
      <c r="J55" s="17"/>
    </row>
    <row r="56" spans="3:10" x14ac:dyDescent="0.3">
      <c r="C56" s="17"/>
      <c r="D56" s="17"/>
      <c r="E56" s="17"/>
      <c r="F56" s="17"/>
      <c r="G56" s="17"/>
      <c r="H56" s="17"/>
      <c r="I56" s="17"/>
      <c r="J56" s="17"/>
    </row>
    <row r="57" spans="3:10" x14ac:dyDescent="0.3">
      <c r="C57" s="17"/>
      <c r="D57" s="17"/>
      <c r="E57" s="17"/>
      <c r="F57" s="17"/>
      <c r="G57" s="17"/>
      <c r="H57" s="17"/>
      <c r="I57" s="17"/>
      <c r="J57" s="17"/>
    </row>
    <row r="58" spans="3:10" x14ac:dyDescent="0.3">
      <c r="C58" s="17"/>
      <c r="D58" s="17"/>
      <c r="E58" s="17"/>
      <c r="F58" s="17"/>
      <c r="G58" s="17"/>
      <c r="H58" s="17"/>
      <c r="I58" s="17"/>
      <c r="J58" s="17"/>
    </row>
    <row r="59" spans="3:10" x14ac:dyDescent="0.3">
      <c r="C59" s="17"/>
      <c r="D59" s="17"/>
      <c r="E59" s="17"/>
      <c r="F59" s="17"/>
      <c r="G59" s="17"/>
      <c r="H59" s="17"/>
      <c r="I59" s="17"/>
      <c r="J59" s="17"/>
    </row>
    <row r="60" spans="3:10" x14ac:dyDescent="0.3">
      <c r="C60" s="17"/>
      <c r="D60" s="17"/>
      <c r="E60" s="17"/>
      <c r="F60" s="17"/>
      <c r="G60" s="17"/>
      <c r="H60" s="17"/>
      <c r="I60" s="17"/>
      <c r="J60" s="17"/>
    </row>
    <row r="61" spans="3:10" x14ac:dyDescent="0.3">
      <c r="C61" s="17"/>
      <c r="D61" s="17"/>
      <c r="E61" s="17"/>
      <c r="F61" s="17"/>
      <c r="G61" s="17"/>
      <c r="H61" s="17"/>
      <c r="I61" s="17"/>
      <c r="J61" s="17"/>
    </row>
    <row r="62" spans="3:10" x14ac:dyDescent="0.3">
      <c r="C62" s="17"/>
      <c r="D62" s="17"/>
      <c r="E62" s="17"/>
      <c r="F62" s="17"/>
      <c r="G62" s="17"/>
      <c r="H62" s="17"/>
      <c r="I62" s="17"/>
      <c r="J62" s="17"/>
    </row>
    <row r="63" spans="3:10" x14ac:dyDescent="0.3">
      <c r="C63" s="17"/>
      <c r="D63" s="17"/>
      <c r="E63" s="17"/>
      <c r="F63" s="17"/>
      <c r="G63" s="17"/>
      <c r="H63" s="17"/>
      <c r="I63" s="17"/>
      <c r="J63" s="17"/>
    </row>
    <row r="64" spans="3:10" x14ac:dyDescent="0.3">
      <c r="C64" s="17"/>
      <c r="D64" s="17"/>
      <c r="E64" s="17"/>
      <c r="F64" s="17"/>
      <c r="G64" s="17"/>
      <c r="H64" s="17"/>
      <c r="I64" s="17"/>
      <c r="J64" s="17"/>
    </row>
    <row r="65" spans="3:10" x14ac:dyDescent="0.3">
      <c r="C65" s="17"/>
      <c r="D65" s="17"/>
      <c r="E65" s="17"/>
      <c r="F65" s="17"/>
      <c r="G65" s="17"/>
      <c r="H65" s="17"/>
      <c r="I65" s="17"/>
      <c r="J65" s="17"/>
    </row>
    <row r="66" spans="3:10" x14ac:dyDescent="0.3">
      <c r="C66" s="17"/>
      <c r="D66" s="17"/>
      <c r="E66" s="17"/>
      <c r="F66" s="17"/>
      <c r="G66" s="17"/>
      <c r="H66" s="17"/>
      <c r="I66" s="17"/>
      <c r="J66" s="17"/>
    </row>
    <row r="67" spans="3:10" x14ac:dyDescent="0.3">
      <c r="C67" s="17"/>
      <c r="D67" s="17"/>
      <c r="E67" s="17"/>
      <c r="F67" s="17"/>
      <c r="G67" s="17"/>
      <c r="H67" s="17"/>
      <c r="I67" s="17"/>
      <c r="J67" s="17"/>
    </row>
    <row r="68" spans="3:10" x14ac:dyDescent="0.3">
      <c r="C68" s="17"/>
      <c r="D68" s="17"/>
      <c r="E68" s="17"/>
      <c r="F68" s="17"/>
      <c r="G68" s="17"/>
      <c r="H68" s="17"/>
      <c r="I68" s="17"/>
      <c r="J68" s="17"/>
    </row>
    <row r="69" spans="3:10" x14ac:dyDescent="0.3">
      <c r="C69" s="17"/>
      <c r="D69" s="17"/>
      <c r="E69" s="17"/>
      <c r="F69" s="17"/>
      <c r="G69" s="17"/>
      <c r="H69" s="17"/>
      <c r="I69" s="17"/>
      <c r="J69" s="17"/>
    </row>
    <row r="70" spans="3:10" x14ac:dyDescent="0.3">
      <c r="C70" s="17"/>
      <c r="D70" s="17"/>
      <c r="E70" s="17"/>
      <c r="F70" s="17"/>
      <c r="G70" s="17"/>
      <c r="H70" s="17"/>
      <c r="I70" s="17"/>
      <c r="J70" s="17"/>
    </row>
    <row r="71" spans="3:10" x14ac:dyDescent="0.3">
      <c r="C71" s="17"/>
      <c r="D71" s="17"/>
      <c r="E71" s="17"/>
      <c r="F71" s="17"/>
      <c r="G71" s="17"/>
      <c r="H71" s="17"/>
      <c r="I71" s="17"/>
      <c r="J71" s="17"/>
    </row>
    <row r="72" spans="3:10" x14ac:dyDescent="0.3">
      <c r="C72" s="17"/>
      <c r="D72" s="17"/>
      <c r="E72" s="17"/>
      <c r="F72" s="17"/>
      <c r="G72" s="17"/>
      <c r="H72" s="17"/>
      <c r="I72" s="17"/>
      <c r="J72" s="17"/>
    </row>
    <row r="73" spans="3:10" x14ac:dyDescent="0.3">
      <c r="C73" s="17"/>
      <c r="D73" s="17"/>
      <c r="E73" s="17"/>
      <c r="F73" s="17"/>
      <c r="G73" s="17"/>
      <c r="H73" s="17"/>
      <c r="I73" s="17"/>
      <c r="J73" s="17"/>
    </row>
    <row r="74" spans="3:10" x14ac:dyDescent="0.3">
      <c r="C74" s="17"/>
      <c r="D74" s="17"/>
      <c r="E74" s="17"/>
      <c r="F74" s="17"/>
      <c r="G74" s="17"/>
      <c r="H74" s="17"/>
      <c r="I74" s="17"/>
      <c r="J74" s="17"/>
    </row>
    <row r="75" spans="3:10" x14ac:dyDescent="0.3">
      <c r="C75" s="17"/>
      <c r="D75" s="17"/>
      <c r="E75" s="17"/>
      <c r="F75" s="17"/>
      <c r="G75" s="17"/>
      <c r="H75" s="17"/>
      <c r="I75" s="17"/>
      <c r="J75" s="17"/>
    </row>
    <row r="76" spans="3:10" x14ac:dyDescent="0.3">
      <c r="C76" s="17"/>
      <c r="D76" s="17"/>
      <c r="E76" s="17"/>
      <c r="F76" s="17"/>
      <c r="G76" s="17"/>
      <c r="H76" s="17"/>
      <c r="I76" s="17"/>
      <c r="J76" s="17"/>
    </row>
    <row r="77" spans="3:10" x14ac:dyDescent="0.3">
      <c r="C77" s="17"/>
      <c r="D77" s="17"/>
      <c r="E77" s="17"/>
      <c r="F77" s="17"/>
      <c r="G77" s="17"/>
      <c r="H77" s="17"/>
      <c r="I77" s="17"/>
      <c r="J77" s="17"/>
    </row>
    <row r="78" spans="3:10" x14ac:dyDescent="0.3">
      <c r="C78" s="17"/>
      <c r="D78" s="17"/>
      <c r="E78" s="17"/>
      <c r="F78" s="17"/>
      <c r="G78" s="17"/>
      <c r="H78" s="17"/>
      <c r="I78" s="17"/>
      <c r="J78" s="17"/>
    </row>
    <row r="79" spans="3:10" x14ac:dyDescent="0.3">
      <c r="C79" s="17"/>
      <c r="D79" s="17"/>
      <c r="E79" s="17"/>
      <c r="F79" s="17"/>
      <c r="G79" s="17"/>
      <c r="H79" s="17"/>
      <c r="I79" s="17"/>
      <c r="J79" s="17"/>
    </row>
    <row r="80" spans="3:10" x14ac:dyDescent="0.3">
      <c r="C80" s="17"/>
      <c r="D80" s="17"/>
      <c r="E80" s="17"/>
      <c r="F80" s="17"/>
      <c r="G80" s="17"/>
      <c r="H80" s="17"/>
      <c r="I80" s="17"/>
      <c r="J80" s="17"/>
    </row>
    <row r="81" spans="3:10" x14ac:dyDescent="0.3">
      <c r="C81" s="17"/>
      <c r="D81" s="17"/>
      <c r="E81" s="17"/>
      <c r="F81" s="17"/>
      <c r="G81" s="17"/>
      <c r="H81" s="17"/>
      <c r="I81" s="17"/>
      <c r="J81" s="17"/>
    </row>
    <row r="82" spans="3:10" x14ac:dyDescent="0.3">
      <c r="C82" s="17"/>
      <c r="D82" s="17"/>
      <c r="E82" s="17"/>
      <c r="F82" s="17"/>
      <c r="G82" s="17"/>
      <c r="H82" s="17"/>
      <c r="I82" s="17"/>
      <c r="J82" s="17"/>
    </row>
    <row r="83" spans="3:10" x14ac:dyDescent="0.3">
      <c r="C83" s="17"/>
      <c r="D83" s="17"/>
      <c r="E83" s="17"/>
      <c r="F83" s="17"/>
      <c r="G83" s="17"/>
      <c r="H83" s="17"/>
      <c r="I83" s="17"/>
      <c r="J83" s="17"/>
    </row>
    <row r="84" spans="3:10" x14ac:dyDescent="0.3">
      <c r="C84" s="17"/>
      <c r="D84" s="17"/>
      <c r="E84" s="17"/>
      <c r="F84" s="17"/>
      <c r="G84" s="17"/>
      <c r="H84" s="17"/>
      <c r="I84" s="17"/>
      <c r="J84" s="17"/>
    </row>
    <row r="85" spans="3:10" x14ac:dyDescent="0.3">
      <c r="C85" s="17"/>
      <c r="D85" s="17"/>
      <c r="E85" s="17"/>
      <c r="F85" s="17"/>
      <c r="G85" s="17"/>
      <c r="H85" s="17"/>
      <c r="I85" s="17"/>
      <c r="J85" s="17"/>
    </row>
    <row r="86" spans="3:10" x14ac:dyDescent="0.3">
      <c r="C86" s="17"/>
      <c r="D86" s="17"/>
      <c r="E86" s="17"/>
      <c r="F86" s="17"/>
      <c r="G86" s="17"/>
      <c r="H86" s="17"/>
      <c r="I86" s="17"/>
      <c r="J86" s="17"/>
    </row>
    <row r="87" spans="3:10" x14ac:dyDescent="0.3">
      <c r="C87" s="17"/>
      <c r="D87" s="17"/>
      <c r="E87" s="17"/>
      <c r="F87" s="17"/>
      <c r="G87" s="17"/>
      <c r="H87" s="17"/>
      <c r="I87" s="17"/>
      <c r="J87" s="17"/>
    </row>
    <row r="88" spans="3:10" x14ac:dyDescent="0.3">
      <c r="C88" s="17"/>
      <c r="D88" s="17"/>
      <c r="E88" s="17"/>
      <c r="F88" s="17"/>
      <c r="G88" s="17"/>
      <c r="H88" s="17"/>
      <c r="I88" s="17"/>
      <c r="J88" s="17"/>
    </row>
    <row r="89" spans="3:10" x14ac:dyDescent="0.3">
      <c r="C89" s="17"/>
      <c r="D89" s="17"/>
      <c r="E89" s="17"/>
      <c r="F89" s="17"/>
      <c r="G89" s="17"/>
      <c r="H89" s="17"/>
      <c r="I89" s="17"/>
      <c r="J89" s="17"/>
    </row>
    <row r="90" spans="3:10" x14ac:dyDescent="0.3">
      <c r="C90" s="17"/>
      <c r="D90" s="17"/>
      <c r="E90" s="17"/>
      <c r="F90" s="17"/>
      <c r="G90" s="17"/>
      <c r="H90" s="17"/>
      <c r="I90" s="17"/>
      <c r="J90" s="17"/>
    </row>
    <row r="91" spans="3:10" x14ac:dyDescent="0.3">
      <c r="C91" s="17"/>
      <c r="D91" s="17"/>
      <c r="E91" s="17"/>
      <c r="F91" s="17"/>
      <c r="G91" s="17"/>
      <c r="H91" s="17"/>
      <c r="I91" s="17"/>
      <c r="J91" s="17"/>
    </row>
    <row r="92" spans="3:10" x14ac:dyDescent="0.3">
      <c r="C92" s="17"/>
      <c r="D92" s="17"/>
      <c r="E92" s="17"/>
      <c r="F92" s="17"/>
      <c r="G92" s="17"/>
      <c r="H92" s="17"/>
      <c r="I92" s="17"/>
      <c r="J92" s="17"/>
    </row>
    <row r="93" spans="3:10" x14ac:dyDescent="0.3">
      <c r="C93" s="17"/>
      <c r="D93" s="17"/>
      <c r="E93" s="17"/>
      <c r="F93" s="17"/>
      <c r="G93" s="17"/>
      <c r="H93" s="17"/>
      <c r="I93" s="17"/>
      <c r="J93" s="17"/>
    </row>
    <row r="94" spans="3:10" x14ac:dyDescent="0.3">
      <c r="C94" s="17"/>
      <c r="D94" s="17"/>
      <c r="E94" s="17"/>
      <c r="F94" s="17"/>
      <c r="G94" s="17"/>
      <c r="H94" s="17"/>
      <c r="I94" s="17"/>
      <c r="J94" s="17"/>
    </row>
    <row r="95" spans="3:10" x14ac:dyDescent="0.3">
      <c r="C95" s="17"/>
      <c r="D95" s="17"/>
      <c r="E95" s="17"/>
      <c r="F95" s="17"/>
      <c r="G95" s="17"/>
      <c r="H95" s="17"/>
      <c r="I95" s="17"/>
      <c r="J95" s="17"/>
    </row>
    <row r="96" spans="3:10" x14ac:dyDescent="0.3">
      <c r="C96" s="17"/>
      <c r="D96" s="17"/>
      <c r="E96" s="17"/>
      <c r="F96" s="17"/>
      <c r="G96" s="17"/>
      <c r="H96" s="17"/>
      <c r="I96" s="17"/>
      <c r="J96" s="17"/>
    </row>
    <row r="97" spans="3:10" x14ac:dyDescent="0.3">
      <c r="C97" s="17"/>
      <c r="D97" s="17"/>
      <c r="E97" s="17"/>
      <c r="F97" s="17"/>
      <c r="G97" s="17"/>
      <c r="H97" s="17"/>
      <c r="I97" s="17"/>
      <c r="J97" s="17"/>
    </row>
    <row r="98" spans="3:10" x14ac:dyDescent="0.3">
      <c r="C98" s="17"/>
      <c r="D98" s="17"/>
      <c r="E98" s="17"/>
      <c r="F98" s="17"/>
      <c r="G98" s="17"/>
      <c r="H98" s="17"/>
      <c r="I98" s="17"/>
      <c r="J98" s="17"/>
    </row>
    <row r="99" spans="3:10" x14ac:dyDescent="0.3">
      <c r="C99" s="17"/>
      <c r="D99" s="17"/>
      <c r="E99" s="17"/>
      <c r="F99" s="17"/>
      <c r="G99" s="17"/>
      <c r="H99" s="17"/>
      <c r="I99" s="17"/>
      <c r="J99" s="17"/>
    </row>
    <row r="100" spans="3:10" x14ac:dyDescent="0.3">
      <c r="C100" s="17"/>
      <c r="D100" s="17"/>
      <c r="E100" s="17"/>
      <c r="F100" s="17"/>
      <c r="G100" s="17"/>
      <c r="H100" s="17"/>
      <c r="I100" s="17"/>
      <c r="J100" s="17"/>
    </row>
    <row r="101" spans="3:10" x14ac:dyDescent="0.3">
      <c r="C101" s="17"/>
      <c r="D101" s="17"/>
      <c r="E101" s="17"/>
      <c r="F101" s="17"/>
      <c r="G101" s="17"/>
      <c r="H101" s="17"/>
      <c r="I101" s="17"/>
      <c r="J101" s="17"/>
    </row>
    <row r="102" spans="3:10" x14ac:dyDescent="0.3">
      <c r="C102" s="17"/>
      <c r="D102" s="17"/>
      <c r="E102" s="17"/>
      <c r="F102" s="17"/>
      <c r="G102" s="17"/>
      <c r="H102" s="17"/>
      <c r="I102" s="17"/>
      <c r="J102" s="17"/>
    </row>
    <row r="103" spans="3:10" x14ac:dyDescent="0.3">
      <c r="C103" s="17"/>
      <c r="D103" s="17"/>
      <c r="E103" s="17"/>
      <c r="F103" s="17"/>
      <c r="G103" s="17"/>
      <c r="H103" s="17"/>
      <c r="I103" s="17"/>
      <c r="J103" s="17"/>
    </row>
    <row r="104" spans="3:10" x14ac:dyDescent="0.3">
      <c r="C104" s="17"/>
      <c r="D104" s="17"/>
      <c r="E104" s="17"/>
      <c r="F104" s="17"/>
      <c r="G104" s="17"/>
      <c r="H104" s="17"/>
      <c r="I104" s="17"/>
      <c r="J104" s="17"/>
    </row>
    <row r="105" spans="3:10" x14ac:dyDescent="0.3">
      <c r="C105" s="17"/>
      <c r="D105" s="17"/>
      <c r="E105" s="17"/>
      <c r="F105" s="17"/>
      <c r="G105" s="17"/>
      <c r="H105" s="17"/>
      <c r="I105" s="17"/>
      <c r="J105" s="17"/>
    </row>
    <row r="106" spans="3:10" x14ac:dyDescent="0.3">
      <c r="C106" s="17"/>
      <c r="D106" s="17"/>
      <c r="E106" s="17"/>
      <c r="F106" s="17"/>
      <c r="G106" s="17"/>
      <c r="H106" s="17"/>
      <c r="I106" s="17"/>
      <c r="J106" s="17"/>
    </row>
    <row r="107" spans="3:10" x14ac:dyDescent="0.3">
      <c r="C107" s="17"/>
      <c r="D107" s="17"/>
      <c r="E107" s="17"/>
      <c r="F107" s="17"/>
      <c r="G107" s="17"/>
      <c r="H107" s="17"/>
      <c r="I107" s="17"/>
      <c r="J107" s="17"/>
    </row>
    <row r="108" spans="3:10" x14ac:dyDescent="0.3">
      <c r="C108" s="17"/>
      <c r="D108" s="17"/>
      <c r="E108" s="17"/>
      <c r="F108" s="17"/>
      <c r="G108" s="17"/>
      <c r="H108" s="17"/>
      <c r="I108" s="17"/>
      <c r="J108" s="17"/>
    </row>
    <row r="109" spans="3:10" x14ac:dyDescent="0.3">
      <c r="C109" s="17"/>
      <c r="D109" s="17"/>
      <c r="E109" s="17"/>
      <c r="F109" s="17"/>
      <c r="G109" s="17"/>
      <c r="H109" s="17"/>
      <c r="I109" s="17"/>
      <c r="J109" s="17"/>
    </row>
    <row r="110" spans="3:10" x14ac:dyDescent="0.3">
      <c r="C110" s="17"/>
      <c r="D110" s="17"/>
      <c r="E110" s="17"/>
      <c r="F110" s="17"/>
      <c r="G110" s="17"/>
      <c r="H110" s="17"/>
      <c r="I110" s="17"/>
      <c r="J110" s="17"/>
    </row>
    <row r="111" spans="3:10" x14ac:dyDescent="0.3">
      <c r="C111" s="17"/>
      <c r="D111" s="17"/>
      <c r="E111" s="17"/>
      <c r="F111" s="17"/>
      <c r="G111" s="17"/>
      <c r="H111" s="17"/>
      <c r="I111" s="17"/>
      <c r="J111" s="17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4D09-468A-41F5-8D3B-761B1B193242}">
  <dimension ref="A4:J42"/>
  <sheetViews>
    <sheetView showGridLines="0" zoomScale="85" zoomScaleNormal="85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42.21875" bestFit="1" customWidth="1"/>
  </cols>
  <sheetData>
    <row r="4" spans="1:10" x14ac:dyDescent="0.3">
      <c r="A4" s="142"/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143" t="str">
        <f>+ER!A6</f>
        <v>Ingresos de actividades ordinarias</v>
      </c>
      <c r="B5" s="143">
        <f>+ER!B6</f>
        <v>199619</v>
      </c>
      <c r="C5" s="143">
        <f>+ER!C6</f>
        <v>187321</v>
      </c>
      <c r="D5" s="143">
        <f>+ER!D6</f>
        <v>330211</v>
      </c>
      <c r="E5" s="143">
        <f>+ER!E6</f>
        <v>424158</v>
      </c>
      <c r="F5" s="143">
        <f>+ER!F6</f>
        <v>400661</v>
      </c>
      <c r="G5" s="143">
        <f>+ER!G6</f>
        <v>452250</v>
      </c>
      <c r="H5" s="143">
        <f>+ER!H6</f>
        <v>470950.01569999999</v>
      </c>
      <c r="I5" s="143">
        <f>+ER!I6</f>
        <v>493161.3159470699</v>
      </c>
      <c r="J5" s="143">
        <f>+ER!J6</f>
        <v>519243.41512419953</v>
      </c>
    </row>
    <row r="6" spans="1:10" ht="23.4" x14ac:dyDescent="0.45">
      <c r="A6" s="30" t="s">
        <v>11</v>
      </c>
      <c r="C6" s="18"/>
      <c r="D6" s="18"/>
      <c r="E6" s="18"/>
      <c r="F6" s="18"/>
      <c r="G6" s="18"/>
      <c r="H6" s="18"/>
      <c r="I6" s="18"/>
      <c r="J6" s="18"/>
    </row>
    <row r="7" spans="1:10" x14ac:dyDescent="0.3">
      <c r="B7" s="7">
        <v>2019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13">
        <v>2025</v>
      </c>
      <c r="I7" s="13">
        <v>2026</v>
      </c>
      <c r="J7" s="13">
        <v>2027</v>
      </c>
    </row>
    <row r="8" spans="1:10" x14ac:dyDescent="0.3">
      <c r="A8" s="74" t="s">
        <v>80</v>
      </c>
      <c r="B8" s="233">
        <v>38563</v>
      </c>
      <c r="C8" s="193">
        <f t="shared" ref="C8:J8" si="0">+B16</f>
        <v>37597</v>
      </c>
      <c r="D8" s="193">
        <f t="shared" si="0"/>
        <v>27160</v>
      </c>
      <c r="E8" s="193">
        <f t="shared" ref="E8" si="1">+D16</f>
        <v>26929</v>
      </c>
      <c r="F8" s="193">
        <f t="shared" ref="F8" si="2">+E16</f>
        <v>29140</v>
      </c>
      <c r="G8" s="193">
        <f t="shared" ref="G8" si="3">+F16</f>
        <v>29112</v>
      </c>
      <c r="H8" s="193">
        <f t="shared" si="0"/>
        <v>18499</v>
      </c>
      <c r="I8" s="193">
        <f t="shared" si="0"/>
        <v>20708.829428740002</v>
      </c>
      <c r="J8" s="193">
        <f t="shared" si="0"/>
        <v>22903.453751519493</v>
      </c>
    </row>
    <row r="9" spans="1:10" x14ac:dyDescent="0.3">
      <c r="A9" s="76" t="s">
        <v>147</v>
      </c>
      <c r="B9" s="76"/>
      <c r="C9" s="76">
        <v>9520</v>
      </c>
      <c r="D9" s="194"/>
      <c r="E9" s="194"/>
      <c r="F9" s="194"/>
      <c r="G9" s="194"/>
      <c r="H9" s="194"/>
      <c r="I9" s="194"/>
      <c r="J9" s="194"/>
    </row>
    <row r="10" spans="1:10" x14ac:dyDescent="0.3">
      <c r="A10" s="76" t="s">
        <v>148</v>
      </c>
      <c r="B10" s="76"/>
      <c r="C10" s="76">
        <v>879</v>
      </c>
      <c r="D10" s="194"/>
      <c r="E10" s="194"/>
      <c r="F10" s="194"/>
      <c r="G10" s="194"/>
      <c r="H10" s="194"/>
      <c r="I10" s="194"/>
      <c r="J10" s="194"/>
    </row>
    <row r="11" spans="1:10" x14ac:dyDescent="0.3">
      <c r="A11" s="76" t="s">
        <v>82</v>
      </c>
      <c r="B11" s="76">
        <v>2092</v>
      </c>
      <c r="C11" s="76">
        <v>907</v>
      </c>
      <c r="D11" s="76">
        <v>2170</v>
      </c>
      <c r="E11" s="76">
        <v>4745</v>
      </c>
      <c r="F11" s="76">
        <v>2922</v>
      </c>
      <c r="G11" s="76">
        <v>3583</v>
      </c>
      <c r="H11" s="195">
        <f>H5*Supuestos!$G$21</f>
        <v>3861.7901287400005</v>
      </c>
      <c r="I11" s="195">
        <f>I5*Supuestos!$G$21</f>
        <v>4043.9227907659733</v>
      </c>
      <c r="J11" s="195">
        <f>J5*Supuestos!$G$21</f>
        <v>4257.7960040184362</v>
      </c>
    </row>
    <row r="12" spans="1:10" x14ac:dyDescent="0.3">
      <c r="A12" s="76" t="s">
        <v>83</v>
      </c>
      <c r="B12" s="76">
        <v>11</v>
      </c>
      <c r="C12" s="76">
        <v>29</v>
      </c>
      <c r="D12" s="76">
        <v>42</v>
      </c>
      <c r="E12" s="76">
        <v>50</v>
      </c>
      <c r="F12" s="76">
        <v>36</v>
      </c>
      <c r="G12" s="76">
        <v>29</v>
      </c>
      <c r="H12" s="195">
        <f>+Supuestos!G24</f>
        <v>0</v>
      </c>
      <c r="I12" s="195">
        <f>+Supuestos!H24</f>
        <v>0</v>
      </c>
      <c r="J12" s="195">
        <f>+Supuestos!I24</f>
        <v>0</v>
      </c>
    </row>
    <row r="13" spans="1:10" x14ac:dyDescent="0.3">
      <c r="A13" s="76" t="s">
        <v>84</v>
      </c>
      <c r="B13" s="76">
        <v>29</v>
      </c>
      <c r="C13" s="76"/>
      <c r="D13" s="76">
        <v>0</v>
      </c>
      <c r="E13" s="76">
        <v>13</v>
      </c>
      <c r="F13" s="76">
        <v>7</v>
      </c>
      <c r="G13" s="76">
        <v>10769</v>
      </c>
      <c r="H13" s="196"/>
      <c r="I13" s="196"/>
      <c r="J13" s="196"/>
    </row>
    <row r="14" spans="1:10" x14ac:dyDescent="0.3">
      <c r="A14" s="76" t="s">
        <v>99</v>
      </c>
      <c r="B14" s="197">
        <v>3018</v>
      </c>
      <c r="C14" s="197">
        <v>2674</v>
      </c>
      <c r="D14" s="197">
        <v>2359</v>
      </c>
      <c r="E14" s="198">
        <v>2471</v>
      </c>
      <c r="F14" s="198">
        <v>2907</v>
      </c>
      <c r="G14" s="198">
        <v>3398</v>
      </c>
      <c r="H14" s="198">
        <f>+H8*Supuestos!$C$38</f>
        <v>1651.9607000000001</v>
      </c>
      <c r="I14" s="198">
        <f>+I8*Supuestos!$C$38</f>
        <v>1849.2984679864824</v>
      </c>
      <c r="J14" s="198">
        <f>+J8*Supuestos!$C$38</f>
        <v>2045.2784200106908</v>
      </c>
    </row>
    <row r="15" spans="1:10" x14ac:dyDescent="0.3">
      <c r="A15" s="76" t="s">
        <v>100</v>
      </c>
      <c r="B15" s="76"/>
      <c r="C15" s="76"/>
      <c r="D15" s="76"/>
      <c r="E15" s="76"/>
      <c r="F15" s="76"/>
      <c r="G15" s="76"/>
      <c r="H15" s="196"/>
      <c r="I15" s="196"/>
      <c r="J15" s="196"/>
    </row>
    <row r="16" spans="1:10" x14ac:dyDescent="0.3">
      <c r="A16" s="78" t="s">
        <v>81</v>
      </c>
      <c r="B16" s="82">
        <f>+B8+B11-B12-B13-B14-B15-B9+B10</f>
        <v>37597</v>
      </c>
      <c r="C16" s="82">
        <f>+C8+C11-C12-C13-C14-C15-C9+C10</f>
        <v>27160</v>
      </c>
      <c r="D16" s="82">
        <f t="shared" ref="D16:J16" si="4">+D8+D11-D12-D13-D14-D15-D9+D10</f>
        <v>26929</v>
      </c>
      <c r="E16" s="82">
        <f t="shared" ref="E16:F16" si="5">+E8+E11-E12-E13-E14-E15-E9+E10</f>
        <v>29140</v>
      </c>
      <c r="F16" s="82">
        <f t="shared" si="5"/>
        <v>29112</v>
      </c>
      <c r="G16" s="82">
        <f t="shared" si="4"/>
        <v>18499</v>
      </c>
      <c r="H16" s="82">
        <f t="shared" si="4"/>
        <v>20708.829428740002</v>
      </c>
      <c r="I16" s="82">
        <f t="shared" si="4"/>
        <v>22903.453751519493</v>
      </c>
      <c r="J16" s="82">
        <f t="shared" si="4"/>
        <v>25115.97133552724</v>
      </c>
    </row>
    <row r="17" spans="1:10" x14ac:dyDescent="0.3">
      <c r="B17" s="31">
        <f>+ESF!B19</f>
        <v>37597</v>
      </c>
      <c r="C17" s="31">
        <f>+ESF!C19</f>
        <v>27160</v>
      </c>
      <c r="D17" s="31">
        <f>+ESF!D19</f>
        <v>26929</v>
      </c>
      <c r="E17" s="31">
        <f>+ESF!E19</f>
        <v>29140</v>
      </c>
      <c r="F17" s="31">
        <f>+ESF!F19</f>
        <v>29112</v>
      </c>
      <c r="G17" s="31">
        <f>+ESF!G19</f>
        <v>18499</v>
      </c>
    </row>
    <row r="18" spans="1:10" x14ac:dyDescent="0.3">
      <c r="B18" s="199">
        <f>+B14/B8</f>
        <v>7.826154604154241E-2</v>
      </c>
      <c r="C18" s="199">
        <f>+C14/C8</f>
        <v>7.112269595978403E-2</v>
      </c>
      <c r="D18" s="199">
        <f t="shared" ref="D18" si="6">+D14/D8</f>
        <v>8.685567010309278E-2</v>
      </c>
      <c r="E18" s="199">
        <f t="shared" ref="E18:G18" si="7">+E14/E8</f>
        <v>9.1759812841174945E-2</v>
      </c>
      <c r="F18" s="199">
        <f t="shared" si="7"/>
        <v>9.9759780370624565E-2</v>
      </c>
      <c r="G18" s="199">
        <f t="shared" si="7"/>
        <v>0.11672162682055509</v>
      </c>
      <c r="H18" s="18"/>
      <c r="I18" s="18"/>
      <c r="J18" s="31"/>
    </row>
    <row r="19" spans="1:10" x14ac:dyDescent="0.3">
      <c r="D19" s="31"/>
      <c r="E19" s="31"/>
    </row>
    <row r="20" spans="1:10" x14ac:dyDescent="0.3">
      <c r="B20" s="7">
        <v>2019</v>
      </c>
      <c r="C20" s="7">
        <v>2020</v>
      </c>
      <c r="D20" s="7">
        <v>2021</v>
      </c>
      <c r="E20" s="7">
        <v>2022</v>
      </c>
      <c r="F20" s="7">
        <v>2023</v>
      </c>
      <c r="G20" s="7">
        <v>2024</v>
      </c>
      <c r="H20" s="13">
        <v>2025</v>
      </c>
      <c r="I20" s="13">
        <v>2026</v>
      </c>
      <c r="J20" s="13">
        <v>2027</v>
      </c>
    </row>
    <row r="21" spans="1:10" x14ac:dyDescent="0.3">
      <c r="A21" s="74" t="s">
        <v>29</v>
      </c>
      <c r="B21" s="75">
        <v>2881</v>
      </c>
      <c r="C21" s="75">
        <v>2586</v>
      </c>
      <c r="D21" s="75">
        <v>2264</v>
      </c>
      <c r="E21" s="75">
        <v>2326</v>
      </c>
      <c r="F21" s="75">
        <v>2675</v>
      </c>
      <c r="G21" s="75">
        <v>3046</v>
      </c>
      <c r="H21" s="75">
        <f>+H$14*Supuestos!$C41</f>
        <v>1480.81757148</v>
      </c>
      <c r="I21" s="75">
        <f>+I$14*Supuestos!$C41</f>
        <v>1657.7111467030827</v>
      </c>
      <c r="J21" s="75">
        <f>+J$14*Supuestos!$C41</f>
        <v>1833.3875756975831</v>
      </c>
    </row>
    <row r="22" spans="1:10" x14ac:dyDescent="0.3">
      <c r="A22" s="76" t="s">
        <v>144</v>
      </c>
      <c r="B22" s="77">
        <v>71</v>
      </c>
      <c r="C22" s="77">
        <v>40</v>
      </c>
      <c r="D22" s="77">
        <v>40</v>
      </c>
      <c r="E22" s="77">
        <v>61</v>
      </c>
      <c r="F22" s="77">
        <v>84</v>
      </c>
      <c r="G22" s="77">
        <v>105</v>
      </c>
      <c r="H22" s="77">
        <f>+H$14*Supuestos!$C42</f>
        <v>51.045585630000005</v>
      </c>
      <c r="I22" s="77">
        <f>+I$14*Supuestos!$C42</f>
        <v>57.143322660782303</v>
      </c>
      <c r="J22" s="77">
        <f>+J$14*Supuestos!$C42</f>
        <v>63.199103178330347</v>
      </c>
    </row>
    <row r="23" spans="1:10" x14ac:dyDescent="0.3">
      <c r="A23" s="78" t="s">
        <v>145</v>
      </c>
      <c r="B23" s="79">
        <v>66</v>
      </c>
      <c r="C23" s="79">
        <v>48</v>
      </c>
      <c r="D23" s="79">
        <v>55</v>
      </c>
      <c r="E23" s="79">
        <v>84</v>
      </c>
      <c r="F23" s="79">
        <v>148</v>
      </c>
      <c r="G23" s="79">
        <v>247</v>
      </c>
      <c r="H23" s="79">
        <f>+H$14*Supuestos!$C43</f>
        <v>120.09754289000001</v>
      </c>
      <c r="I23" s="79">
        <f>+I$14*Supuestos!$C43</f>
        <v>134.44399862261727</v>
      </c>
      <c r="J23" s="79">
        <f>+J$14*Supuestos!$C43</f>
        <v>148.69174113477723</v>
      </c>
    </row>
    <row r="24" spans="1:10" x14ac:dyDescent="0.3">
      <c r="B24" s="73">
        <f>+SUM(B21:B23)</f>
        <v>3018</v>
      </c>
      <c r="C24" s="73">
        <f t="shared" ref="C24:G24" si="8">+SUM(C21:C23)</f>
        <v>2674</v>
      </c>
      <c r="D24" s="73">
        <f t="shared" si="8"/>
        <v>2359</v>
      </c>
      <c r="E24" s="73">
        <f t="shared" ref="E24:F24" si="9">+SUM(E21:E23)</f>
        <v>2471</v>
      </c>
      <c r="F24" s="73">
        <f t="shared" si="9"/>
        <v>2907</v>
      </c>
      <c r="G24" s="73">
        <f t="shared" si="8"/>
        <v>3398</v>
      </c>
      <c r="H24" s="73">
        <f t="shared" ref="H24" si="10">+SUM(H21:H23)</f>
        <v>1651.9607000000001</v>
      </c>
      <c r="I24" s="73">
        <f t="shared" ref="I24" si="11">+SUM(I21:I23)</f>
        <v>1849.2984679864824</v>
      </c>
      <c r="J24" s="73">
        <f t="shared" ref="J24" si="12">+SUM(J21:J23)</f>
        <v>2045.2784200106908</v>
      </c>
    </row>
    <row r="26" spans="1:10" x14ac:dyDescent="0.3">
      <c r="A26" s="21" t="s">
        <v>29</v>
      </c>
      <c r="B26" s="134">
        <f>+B21/B$24</f>
        <v>0.95460569913850235</v>
      </c>
      <c r="C26" s="134">
        <f t="shared" ref="C26" si="13">+C21/C$24</f>
        <v>0.96709050112191475</v>
      </c>
      <c r="D26" s="134">
        <f t="shared" ref="D26:G26" si="14">+D21/D$24</f>
        <v>0.95972869860110221</v>
      </c>
      <c r="E26" s="134">
        <f t="shared" si="14"/>
        <v>0.9413193039255362</v>
      </c>
      <c r="F26" s="134">
        <f t="shared" si="14"/>
        <v>0.92019263845889232</v>
      </c>
      <c r="G26" s="134">
        <f t="shared" si="14"/>
        <v>0.89640965273690409</v>
      </c>
    </row>
    <row r="27" spans="1:10" x14ac:dyDescent="0.3">
      <c r="A27" s="21" t="s">
        <v>144</v>
      </c>
      <c r="B27" s="134">
        <f t="shared" ref="B27:C27" si="15">+B22/B$24</f>
        <v>2.3525513585155731E-2</v>
      </c>
      <c r="C27" s="134">
        <f t="shared" si="15"/>
        <v>1.4958863126402393E-2</v>
      </c>
      <c r="D27" s="134">
        <f t="shared" ref="D27:G27" si="16">+D22/D$24</f>
        <v>1.6956337431114878E-2</v>
      </c>
      <c r="E27" s="134">
        <f t="shared" si="16"/>
        <v>2.4686361796843383E-2</v>
      </c>
      <c r="F27" s="134">
        <f t="shared" si="16"/>
        <v>2.8895768833849329E-2</v>
      </c>
      <c r="G27" s="134">
        <f t="shared" si="16"/>
        <v>3.0900529723366685E-2</v>
      </c>
    </row>
    <row r="28" spans="1:10" x14ac:dyDescent="0.3">
      <c r="A28" s="21" t="s">
        <v>145</v>
      </c>
      <c r="B28" s="134">
        <f t="shared" ref="B28:C28" si="17">+B23/B$24</f>
        <v>2.186878727634195E-2</v>
      </c>
      <c r="C28" s="134">
        <f t="shared" si="17"/>
        <v>1.7950635751682872E-2</v>
      </c>
      <c r="D28" s="134">
        <f t="shared" ref="D28:G28" si="18">+D23/D$24</f>
        <v>2.3314963967782959E-2</v>
      </c>
      <c r="E28" s="134">
        <f t="shared" si="18"/>
        <v>3.39943342776204E-2</v>
      </c>
      <c r="F28" s="134">
        <f t="shared" si="18"/>
        <v>5.0911592707258341E-2</v>
      </c>
      <c r="G28" s="134">
        <f t="shared" si="18"/>
        <v>7.2689817539729251E-2</v>
      </c>
    </row>
    <row r="29" spans="1:10" x14ac:dyDescent="0.3">
      <c r="H29" s="96"/>
    </row>
    <row r="30" spans="1:10" x14ac:dyDescent="0.3">
      <c r="B30" s="7">
        <v>2019</v>
      </c>
      <c r="C30" s="7">
        <v>2020</v>
      </c>
      <c r="D30" s="7">
        <v>2021</v>
      </c>
      <c r="E30" s="7">
        <v>2022</v>
      </c>
      <c r="F30" s="7">
        <v>2023</v>
      </c>
      <c r="G30" s="7">
        <v>2024</v>
      </c>
      <c r="H30" s="13">
        <v>2025</v>
      </c>
      <c r="I30" s="13">
        <v>2026</v>
      </c>
      <c r="J30" s="13">
        <v>2027</v>
      </c>
    </row>
    <row r="31" spans="1:10" x14ac:dyDescent="0.3">
      <c r="A31" t="s">
        <v>261</v>
      </c>
      <c r="B31" s="233">
        <v>4655</v>
      </c>
      <c r="C31" s="260">
        <f>B34</f>
        <v>3716</v>
      </c>
      <c r="D31" s="260">
        <f t="shared" ref="D31:J31" si="19">C34</f>
        <v>8839</v>
      </c>
      <c r="E31" s="260">
        <f t="shared" si="19"/>
        <v>5945</v>
      </c>
      <c r="F31" s="260">
        <f t="shared" si="19"/>
        <v>8258</v>
      </c>
      <c r="G31" s="260">
        <f t="shared" si="19"/>
        <v>5590</v>
      </c>
      <c r="H31" s="260">
        <f t="shared" si="19"/>
        <v>13327</v>
      </c>
      <c r="I31" s="260">
        <f t="shared" si="19"/>
        <v>10784.75535953</v>
      </c>
      <c r="J31" s="260">
        <f t="shared" si="19"/>
        <v>11293.3941351879</v>
      </c>
    </row>
    <row r="32" spans="1:10" x14ac:dyDescent="0.3">
      <c r="A32" t="s">
        <v>239</v>
      </c>
      <c r="B32" s="259">
        <f>B33+B34-B31</f>
        <v>0</v>
      </c>
      <c r="C32" s="259">
        <f>C33+C34-C31</f>
        <v>7746</v>
      </c>
      <c r="D32" s="259">
        <f t="shared" ref="D32:J32" si="20">D33+D34-D31</f>
        <v>71</v>
      </c>
      <c r="E32" s="259">
        <f t="shared" si="20"/>
        <v>5085</v>
      </c>
      <c r="F32" s="259">
        <f t="shared" si="20"/>
        <v>123</v>
      </c>
      <c r="G32" s="259">
        <f t="shared" si="20"/>
        <v>10536</v>
      </c>
      <c r="H32" s="259">
        <f t="shared" si="20"/>
        <v>256.75535952999962</v>
      </c>
      <c r="I32" s="259">
        <f t="shared" si="20"/>
        <v>3307.6387756579006</v>
      </c>
      <c r="J32" s="259">
        <f t="shared" si="20"/>
        <v>3396.2800711562686</v>
      </c>
    </row>
    <row r="33" spans="1:10" x14ac:dyDescent="0.3">
      <c r="A33" t="s">
        <v>254</v>
      </c>
      <c r="B33" s="32">
        <v>939</v>
      </c>
      <c r="C33" s="32">
        <v>2623</v>
      </c>
      <c r="D33" s="32">
        <v>2965</v>
      </c>
      <c r="E33" s="32">
        <v>2772</v>
      </c>
      <c r="F33" s="32">
        <v>2791</v>
      </c>
      <c r="G33" s="32">
        <v>2799</v>
      </c>
      <c r="H33" s="32">
        <f>Supuestos!$G$28</f>
        <v>2799</v>
      </c>
      <c r="I33" s="32">
        <f>Supuestos!$G$28</f>
        <v>2799</v>
      </c>
      <c r="J33" s="32">
        <f>Supuestos!$G$28</f>
        <v>2799</v>
      </c>
    </row>
    <row r="34" spans="1:10" x14ac:dyDescent="0.3">
      <c r="A34" t="s">
        <v>260</v>
      </c>
      <c r="B34" s="32">
        <f>+ESF!B22</f>
        <v>3716</v>
      </c>
      <c r="C34" s="32">
        <f>+ESF!C22</f>
        <v>8839</v>
      </c>
      <c r="D34" s="32">
        <f>+ESF!D22</f>
        <v>5945</v>
      </c>
      <c r="E34" s="32">
        <f>+ESF!E22</f>
        <v>8258</v>
      </c>
      <c r="F34" s="32">
        <f>+ESF!F22</f>
        <v>5590</v>
      </c>
      <c r="G34" s="32">
        <f>+ESF!G22</f>
        <v>13327</v>
      </c>
      <c r="H34" s="234">
        <f>+H5*Supuestos!$G$27</f>
        <v>10784.75535953</v>
      </c>
      <c r="I34" s="234">
        <f>+I5*Supuestos!$G$27</f>
        <v>11293.3941351879</v>
      </c>
      <c r="J34" s="234">
        <f>+J5*Supuestos!$G$27</f>
        <v>11890.674206344169</v>
      </c>
    </row>
    <row r="35" spans="1:10" x14ac:dyDescent="0.3">
      <c r="A35" t="s">
        <v>255</v>
      </c>
      <c r="B35" s="32">
        <f>'Gasto de Administración'!B11</f>
        <v>0</v>
      </c>
      <c r="C35" s="32">
        <f>'Gasto de Administración'!C11</f>
        <v>1684</v>
      </c>
      <c r="D35" s="32">
        <f>'Gasto de Administración'!D11</f>
        <v>2020</v>
      </c>
      <c r="E35" s="32">
        <f>'Gasto de Administración'!E11</f>
        <v>1810</v>
      </c>
      <c r="F35" s="32">
        <f>'Gasto de Administración'!F11</f>
        <v>1946</v>
      </c>
      <c r="G35" s="32">
        <f>'Gasto de Administración'!G11</f>
        <v>1946</v>
      </c>
      <c r="H35" s="32">
        <f>H33*Supuestos!$H$29</f>
        <v>1946</v>
      </c>
      <c r="I35" s="32">
        <f>I33*Supuestos!$H$29</f>
        <v>1946</v>
      </c>
      <c r="J35" s="32">
        <f>J33*Supuestos!$H$29</f>
        <v>1946</v>
      </c>
    </row>
    <row r="36" spans="1:10" x14ac:dyDescent="0.3">
      <c r="A36" t="s">
        <v>144</v>
      </c>
      <c r="B36" s="32">
        <f>'Gasto de Ventas'!B11</f>
        <v>939</v>
      </c>
      <c r="C36" s="32">
        <f>'Gasto de Ventas'!C11</f>
        <v>939</v>
      </c>
      <c r="D36" s="32">
        <f>'Gasto de Ventas'!D11</f>
        <v>945</v>
      </c>
      <c r="E36" s="32">
        <f>'Gasto de Ventas'!E11</f>
        <v>962</v>
      </c>
      <c r="F36" s="32">
        <f>'Gasto de Ventas'!F11</f>
        <v>845</v>
      </c>
      <c r="G36" s="32">
        <f>'Gasto de Ventas'!G11</f>
        <v>853</v>
      </c>
      <c r="H36" s="32">
        <f>H33*Supuestos!$H$30</f>
        <v>852.99999999999989</v>
      </c>
      <c r="I36" s="32">
        <f>I33*Supuestos!$H$30</f>
        <v>852.99999999999989</v>
      </c>
      <c r="J36" s="32">
        <f>J33*Supuestos!$H$30</f>
        <v>852.99999999999989</v>
      </c>
    </row>
    <row r="37" spans="1:10" x14ac:dyDescent="0.3">
      <c r="A37" t="s">
        <v>258</v>
      </c>
      <c r="B37" s="23">
        <f t="shared" ref="B37:G38" si="21">B35/B$33</f>
        <v>0</v>
      </c>
      <c r="C37" s="23">
        <f t="shared" si="21"/>
        <v>0.6420129622569577</v>
      </c>
      <c r="D37" s="23">
        <f t="shared" si="21"/>
        <v>0.68128161888701522</v>
      </c>
      <c r="E37" s="23">
        <f t="shared" si="21"/>
        <v>0.65295815295815296</v>
      </c>
      <c r="F37" s="23">
        <f t="shared" si="21"/>
        <v>0.69724113221067718</v>
      </c>
      <c r="G37" s="23">
        <f t="shared" si="21"/>
        <v>0.69524830296534479</v>
      </c>
      <c r="H37" s="23"/>
      <c r="I37" s="23"/>
      <c r="J37" s="23"/>
    </row>
    <row r="38" spans="1:10" x14ac:dyDescent="0.3">
      <c r="A38" t="s">
        <v>259</v>
      </c>
      <c r="B38" s="23">
        <f t="shared" si="21"/>
        <v>1</v>
      </c>
      <c r="C38" s="23">
        <f t="shared" si="21"/>
        <v>0.3579870377430423</v>
      </c>
      <c r="D38" s="23">
        <f t="shared" si="21"/>
        <v>0.31871838111298484</v>
      </c>
      <c r="E38" s="23">
        <f t="shared" si="21"/>
        <v>0.34704184704184704</v>
      </c>
      <c r="F38" s="23">
        <f t="shared" si="21"/>
        <v>0.30275886778932282</v>
      </c>
      <c r="G38" s="23">
        <f t="shared" si="21"/>
        <v>0.30475169703465521</v>
      </c>
      <c r="H38" s="23"/>
      <c r="I38" s="23"/>
      <c r="J38" s="23"/>
    </row>
    <row r="40" spans="1:10" x14ac:dyDescent="0.3">
      <c r="C40" s="16"/>
    </row>
    <row r="41" spans="1:10" x14ac:dyDescent="0.3">
      <c r="B41" s="31"/>
      <c r="C41" s="31"/>
      <c r="D41" s="31"/>
      <c r="E41" s="31"/>
      <c r="F41" s="31"/>
      <c r="G41" s="31"/>
    </row>
    <row r="42" spans="1:10" x14ac:dyDescent="0.3">
      <c r="H42" s="16"/>
      <c r="I42" s="16"/>
      <c r="J42" s="16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5572-EF50-44C6-9D06-BF524B9FA047}">
  <dimension ref="A4:J49"/>
  <sheetViews>
    <sheetView showGridLines="0" zoomScaleNormal="100" workbookViewId="0">
      <pane ySplit="3" topLeftCell="A4" activePane="bottomLeft" state="frozen"/>
      <selection pane="bottomLeft" activeCell="A2" sqref="A2"/>
    </sheetView>
  </sheetViews>
  <sheetFormatPr baseColWidth="10" defaultRowHeight="14.4" x14ac:dyDescent="0.3"/>
  <cols>
    <col min="1" max="1" width="27.21875" customWidth="1"/>
  </cols>
  <sheetData>
    <row r="4" spans="1:10" ht="23.4" x14ac:dyDescent="0.45">
      <c r="A4" s="30" t="s">
        <v>4</v>
      </c>
    </row>
    <row r="7" spans="1:10" x14ac:dyDescent="0.3">
      <c r="B7" s="7">
        <v>2019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13">
        <v>2025</v>
      </c>
      <c r="I7" s="13">
        <v>2026</v>
      </c>
      <c r="J7" s="13">
        <v>2027</v>
      </c>
    </row>
    <row r="8" spans="1:10" x14ac:dyDescent="0.3">
      <c r="A8" s="24" t="s">
        <v>59</v>
      </c>
      <c r="B8" s="225">
        <f>+ER!B6</f>
        <v>199619</v>
      </c>
      <c r="C8" s="225">
        <f>+ER!C6</f>
        <v>187321</v>
      </c>
      <c r="D8" s="225">
        <f>+ER!D6</f>
        <v>330211</v>
      </c>
      <c r="E8" s="225">
        <f>+ER!E6</f>
        <v>424158</v>
      </c>
      <c r="F8" s="225">
        <f>+ER!F6</f>
        <v>400661</v>
      </c>
      <c r="G8" s="225">
        <f>+ER!G6</f>
        <v>452250</v>
      </c>
      <c r="H8" s="225">
        <f>+ER!H6</f>
        <v>470950.01569999999</v>
      </c>
      <c r="I8" s="225">
        <f>+ER!I6</f>
        <v>493161.3159470699</v>
      </c>
      <c r="J8" s="225">
        <f>+ER!J6</f>
        <v>519243.41512419953</v>
      </c>
    </row>
    <row r="9" spans="1:10" x14ac:dyDescent="0.3">
      <c r="A9" s="24" t="s">
        <v>68</v>
      </c>
      <c r="B9" s="226">
        <v>22806</v>
      </c>
      <c r="C9" s="225">
        <f>+B10</f>
        <v>24037</v>
      </c>
      <c r="D9" s="225">
        <f t="shared" ref="D9:J9" si="0">+C10</f>
        <v>17377</v>
      </c>
      <c r="E9" s="225">
        <f t="shared" ref="E9" si="1">+D10</f>
        <v>28388</v>
      </c>
      <c r="F9" s="225">
        <f t="shared" ref="F9" si="2">+E10</f>
        <v>26997</v>
      </c>
      <c r="G9" s="225">
        <f t="shared" ref="G9" si="3">+F10</f>
        <v>25283</v>
      </c>
      <c r="H9" s="225">
        <f t="shared" si="0"/>
        <v>29131</v>
      </c>
      <c r="I9" s="225">
        <f t="shared" si="0"/>
        <v>31045.946450555552</v>
      </c>
      <c r="J9" s="225">
        <f t="shared" si="0"/>
        <v>31969.1105871256</v>
      </c>
    </row>
    <row r="10" spans="1:10" x14ac:dyDescent="0.3">
      <c r="A10" s="24" t="s">
        <v>69</v>
      </c>
      <c r="B10" s="225">
        <f>+ESF!B9</f>
        <v>24037</v>
      </c>
      <c r="C10" s="225">
        <f>+ESF!C9</f>
        <v>17377</v>
      </c>
      <c r="D10" s="225">
        <f>+ESF!D9</f>
        <v>28388</v>
      </c>
      <c r="E10" s="225">
        <f>+ESF!E9</f>
        <v>26997</v>
      </c>
      <c r="F10" s="225">
        <f>+ESF!F9</f>
        <v>25283</v>
      </c>
      <c r="G10" s="225">
        <f>+ESF!G9</f>
        <v>29131</v>
      </c>
      <c r="H10" s="225">
        <f>2*H8/360*H13-H9</f>
        <v>31045.946450555552</v>
      </c>
      <c r="I10" s="225">
        <f t="shared" ref="I10:J10" si="4">2*I8/360*I13-I9</f>
        <v>31969.1105871256</v>
      </c>
      <c r="J10" s="225">
        <f t="shared" si="4"/>
        <v>34378.659123188787</v>
      </c>
    </row>
    <row r="11" spans="1:10" x14ac:dyDescent="0.3">
      <c r="A11" s="24" t="s">
        <v>60</v>
      </c>
      <c r="B11" s="20">
        <f>+AVERAGE(B9:B10)</f>
        <v>23421.5</v>
      </c>
      <c r="C11" s="20">
        <f>+AVERAGE(C9:C10)</f>
        <v>20707</v>
      </c>
      <c r="D11" s="20">
        <f t="shared" ref="D11" si="5">+AVERAGE(D9:D10)</f>
        <v>22882.5</v>
      </c>
      <c r="E11" s="20">
        <f t="shared" ref="E11:G11" si="6">+AVERAGE(E9:E10)</f>
        <v>27692.5</v>
      </c>
      <c r="F11" s="20">
        <f t="shared" si="6"/>
        <v>26140</v>
      </c>
      <c r="G11" s="20">
        <f t="shared" si="6"/>
        <v>27207</v>
      </c>
      <c r="H11" s="20">
        <f t="shared" ref="H11" si="7">+AVERAGE(H9:H10)</f>
        <v>30088.473225277776</v>
      </c>
      <c r="I11" s="20">
        <f t="shared" ref="I11" si="8">+AVERAGE(I9:I10)</f>
        <v>31507.528518840576</v>
      </c>
      <c r="J11" s="20">
        <f t="shared" ref="J11" si="9">+AVERAGE(J9:J10)</f>
        <v>33173.884855157194</v>
      </c>
    </row>
    <row r="12" spans="1:10" x14ac:dyDescent="0.3">
      <c r="A12" s="24" t="s">
        <v>61</v>
      </c>
      <c r="B12" s="227">
        <f t="shared" ref="B12" si="10">B8/B11</f>
        <v>8.52289563008347</v>
      </c>
      <c r="C12" s="227">
        <f t="shared" ref="C12:J12" si="11">C8/C11</f>
        <v>9.0462645482204085</v>
      </c>
      <c r="D12" s="227">
        <f t="shared" si="11"/>
        <v>14.430722167595324</v>
      </c>
      <c r="E12" s="227">
        <f t="shared" ref="E12:G12" si="12">E8/E11</f>
        <v>15.316710300622912</v>
      </c>
      <c r="F12" s="227">
        <f t="shared" si="12"/>
        <v>15.327505738332059</v>
      </c>
      <c r="G12" s="227">
        <f t="shared" si="12"/>
        <v>16.622560370492888</v>
      </c>
      <c r="H12" s="25">
        <f t="shared" si="11"/>
        <v>15.652173913043478</v>
      </c>
      <c r="I12" s="25">
        <f t="shared" si="11"/>
        <v>15.652173913043478</v>
      </c>
      <c r="J12" s="25">
        <f t="shared" si="11"/>
        <v>15.652173913043477</v>
      </c>
    </row>
    <row r="13" spans="1:10" x14ac:dyDescent="0.3">
      <c r="A13" s="24" t="s">
        <v>62</v>
      </c>
      <c r="B13" s="228">
        <f t="shared" ref="B13" si="13">360/B12</f>
        <v>42.23916561048798</v>
      </c>
      <c r="C13" s="228">
        <f t="shared" ref="C13:D13" si="14">360/C12</f>
        <v>39.795431371816292</v>
      </c>
      <c r="D13" s="228">
        <f t="shared" si="14"/>
        <v>24.946776455054497</v>
      </c>
      <c r="E13" s="228">
        <f t="shared" ref="E13:G13" si="15">360/E12</f>
        <v>23.503741530278813</v>
      </c>
      <c r="F13" s="228">
        <f t="shared" si="15"/>
        <v>23.487187422783848</v>
      </c>
      <c r="G13" s="228">
        <f t="shared" si="15"/>
        <v>21.657313432835821</v>
      </c>
      <c r="H13" s="228">
        <f>+Supuestos!$G$6</f>
        <v>23</v>
      </c>
      <c r="I13" s="228">
        <f>+Supuestos!$G$6</f>
        <v>23</v>
      </c>
      <c r="J13" s="228">
        <f>+Supuestos!$G$6</f>
        <v>23</v>
      </c>
    </row>
    <row r="16" spans="1:10" ht="23.4" x14ac:dyDescent="0.45">
      <c r="A16" s="30" t="s">
        <v>74</v>
      </c>
    </row>
    <row r="17" spans="1:10" x14ac:dyDescent="0.3">
      <c r="B17" s="7">
        <v>2019</v>
      </c>
      <c r="C17" s="7">
        <v>2020</v>
      </c>
      <c r="D17" s="7">
        <v>2021</v>
      </c>
      <c r="E17" s="7">
        <v>2022</v>
      </c>
      <c r="F17" s="7">
        <v>2023</v>
      </c>
      <c r="G17" s="7">
        <v>2024</v>
      </c>
      <c r="H17" s="13">
        <v>2025</v>
      </c>
      <c r="I17" s="13">
        <v>2026</v>
      </c>
      <c r="J17" s="13">
        <v>2027</v>
      </c>
    </row>
    <row r="18" spans="1:10" x14ac:dyDescent="0.3">
      <c r="A18" s="24" t="s">
        <v>29</v>
      </c>
      <c r="B18" s="20">
        <f>-ER!B7</f>
        <v>166246</v>
      </c>
      <c r="C18" s="20">
        <f>-ER!C7</f>
        <v>161990</v>
      </c>
      <c r="D18" s="20">
        <f>-ER!D7</f>
        <v>290126</v>
      </c>
      <c r="E18" s="20">
        <f>-ER!E7</f>
        <v>373656</v>
      </c>
      <c r="F18" s="20">
        <f>-ER!F7</f>
        <v>355059</v>
      </c>
      <c r="G18" s="20">
        <f>-ER!G7</f>
        <v>405000</v>
      </c>
      <c r="H18" s="20">
        <f>-ER!H7</f>
        <v>412004.76028898248</v>
      </c>
      <c r="I18" s="20">
        <f>-ER!I7</f>
        <v>431433.93540177442</v>
      </c>
      <c r="J18" s="20">
        <f>-ER!J7</f>
        <v>454255.67988888122</v>
      </c>
    </row>
    <row r="19" spans="1:10" x14ac:dyDescent="0.3">
      <c r="A19" s="24" t="s">
        <v>75</v>
      </c>
      <c r="B19" s="200">
        <v>30292</v>
      </c>
      <c r="C19" s="20">
        <f>+B20</f>
        <v>28952</v>
      </c>
      <c r="D19" s="20">
        <f t="shared" ref="D19:J19" si="16">+C20</f>
        <v>31043</v>
      </c>
      <c r="E19" s="20">
        <f t="shared" ref="E19" si="17">+D20</f>
        <v>45809</v>
      </c>
      <c r="F19" s="20">
        <f t="shared" ref="F19" si="18">+E20</f>
        <v>57367</v>
      </c>
      <c r="G19" s="20">
        <f t="shared" ref="G19" si="19">+F20</f>
        <v>44150</v>
      </c>
      <c r="H19" s="20">
        <f t="shared" si="16"/>
        <v>52414</v>
      </c>
      <c r="I19" s="20">
        <f t="shared" si="16"/>
        <v>57453.936077061997</v>
      </c>
      <c r="J19" s="20">
        <f t="shared" si="16"/>
        <v>57595.113363411176</v>
      </c>
    </row>
    <row r="20" spans="1:10" x14ac:dyDescent="0.3">
      <c r="A20" s="24" t="s">
        <v>76</v>
      </c>
      <c r="B20" s="20">
        <f>+ESF!B12</f>
        <v>28952</v>
      </c>
      <c r="C20" s="20">
        <f>+ESF!C12</f>
        <v>31043</v>
      </c>
      <c r="D20" s="20">
        <f>+ESF!D12</f>
        <v>45809</v>
      </c>
      <c r="E20" s="20">
        <f>+ESF!E12</f>
        <v>57367</v>
      </c>
      <c r="F20" s="20">
        <f>+ESF!F12</f>
        <v>44150</v>
      </c>
      <c r="G20" s="20">
        <f>+ESF!G12</f>
        <v>52414</v>
      </c>
      <c r="H20" s="20">
        <f>2*H18/360*H23-H19</f>
        <v>57453.936077061997</v>
      </c>
      <c r="I20" s="20">
        <f t="shared" ref="I20:J20" si="20">2*I18/360*I23-I19</f>
        <v>57595.113363411176</v>
      </c>
      <c r="J20" s="20">
        <f t="shared" si="20"/>
        <v>63539.734606957165</v>
      </c>
    </row>
    <row r="21" spans="1:10" x14ac:dyDescent="0.3">
      <c r="A21" s="24" t="s">
        <v>72</v>
      </c>
      <c r="B21" s="20">
        <f>+AVERAGE(B19:B20)</f>
        <v>29622</v>
      </c>
      <c r="C21" s="20">
        <f>+AVERAGE(C19:C20)</f>
        <v>29997.5</v>
      </c>
      <c r="D21" s="20">
        <f t="shared" ref="D21:J21" si="21">+AVERAGE(D19:D20)</f>
        <v>38426</v>
      </c>
      <c r="E21" s="20">
        <f t="shared" ref="E21:G21" si="22">+AVERAGE(E19:E20)</f>
        <v>51588</v>
      </c>
      <c r="F21" s="20">
        <f t="shared" si="22"/>
        <v>50758.5</v>
      </c>
      <c r="G21" s="20">
        <f t="shared" si="22"/>
        <v>48282</v>
      </c>
      <c r="H21" s="20">
        <f t="shared" si="21"/>
        <v>54933.968038530998</v>
      </c>
      <c r="I21" s="20">
        <f t="shared" si="21"/>
        <v>57524.524720236586</v>
      </c>
      <c r="J21" s="20">
        <f t="shared" si="21"/>
        <v>60567.42398518417</v>
      </c>
    </row>
    <row r="22" spans="1:10" x14ac:dyDescent="0.3">
      <c r="A22" s="24" t="s">
        <v>73</v>
      </c>
      <c r="B22" s="227">
        <f t="shared" ref="B22" si="23">B18/B21</f>
        <v>5.6122476537708463</v>
      </c>
      <c r="C22" s="227">
        <f t="shared" ref="C22:J22" si="24">C18/C21</f>
        <v>5.4001166763896995</v>
      </c>
      <c r="D22" s="227">
        <f t="shared" si="24"/>
        <v>7.5502524332483212</v>
      </c>
      <c r="E22" s="227">
        <f t="shared" ref="E22:G22" si="25">E18/E21</f>
        <v>7.2430797859967431</v>
      </c>
      <c r="F22" s="227">
        <f t="shared" si="25"/>
        <v>6.9950648659830374</v>
      </c>
      <c r="G22" s="227">
        <f t="shared" si="25"/>
        <v>8.3882192121287442</v>
      </c>
      <c r="H22" s="25">
        <f t="shared" si="24"/>
        <v>7.5</v>
      </c>
      <c r="I22" s="25">
        <f t="shared" si="24"/>
        <v>7.5</v>
      </c>
      <c r="J22" s="25">
        <f t="shared" si="24"/>
        <v>7.4999999999999991</v>
      </c>
    </row>
    <row r="23" spans="1:10" x14ac:dyDescent="0.3">
      <c r="A23" s="24" t="s">
        <v>65</v>
      </c>
      <c r="B23" s="228">
        <f t="shared" ref="B23" si="26">360/B22</f>
        <v>64.145423047772567</v>
      </c>
      <c r="C23" s="228">
        <f t="shared" ref="C23:D23" si="27">360/C22</f>
        <v>66.665226248533855</v>
      </c>
      <c r="D23" s="228">
        <f t="shared" si="27"/>
        <v>47.680525013270099</v>
      </c>
      <c r="E23" s="228">
        <f t="shared" ref="E23:G23" si="28">360/E22</f>
        <v>49.702614169182354</v>
      </c>
      <c r="F23" s="228">
        <f t="shared" si="28"/>
        <v>51.464855136751922</v>
      </c>
      <c r="G23" s="228">
        <f t="shared" si="28"/>
        <v>42.917333333333332</v>
      </c>
      <c r="H23" s="228">
        <f>+Supuestos!$G$5</f>
        <v>48</v>
      </c>
      <c r="I23" s="228">
        <f>+Supuestos!$G$5</f>
        <v>48</v>
      </c>
      <c r="J23" s="228">
        <f>+Supuestos!$G$5</f>
        <v>48</v>
      </c>
    </row>
    <row r="25" spans="1:10" x14ac:dyDescent="0.3"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23.4" x14ac:dyDescent="0.45">
      <c r="A26" s="30" t="s">
        <v>105</v>
      </c>
    </row>
    <row r="27" spans="1:10" ht="31.2" x14ac:dyDescent="0.6">
      <c r="I27" s="40"/>
      <c r="J27" s="39"/>
    </row>
    <row r="28" spans="1:10" x14ac:dyDescent="0.3">
      <c r="B28" s="7">
        <v>2019</v>
      </c>
      <c r="C28" s="7">
        <v>2020</v>
      </c>
      <c r="D28" s="7">
        <v>2021</v>
      </c>
      <c r="E28" s="7">
        <v>2022</v>
      </c>
      <c r="F28" s="7">
        <v>2023</v>
      </c>
      <c r="G28" s="7">
        <v>2024</v>
      </c>
      <c r="H28" s="13">
        <v>2025</v>
      </c>
      <c r="I28" s="13">
        <v>2026</v>
      </c>
      <c r="J28" s="13">
        <v>2027</v>
      </c>
    </row>
    <row r="29" spans="1:10" x14ac:dyDescent="0.3">
      <c r="A29" s="24" t="s">
        <v>29</v>
      </c>
      <c r="B29" s="191">
        <f>-ER!B7</f>
        <v>166246</v>
      </c>
      <c r="C29" s="191">
        <f>-ER!C7</f>
        <v>161990</v>
      </c>
      <c r="D29" s="191">
        <f>-ER!D7</f>
        <v>290126</v>
      </c>
      <c r="E29" s="191">
        <f>-ER!E7</f>
        <v>373656</v>
      </c>
      <c r="F29" s="191">
        <f>-ER!F7</f>
        <v>355059</v>
      </c>
      <c r="G29" s="191">
        <f>-ER!G7</f>
        <v>405000</v>
      </c>
      <c r="H29" s="191">
        <f>-ER!H7</f>
        <v>412004.76028898248</v>
      </c>
      <c r="I29" s="191">
        <f>-ER!I7</f>
        <v>431433.93540177442</v>
      </c>
      <c r="J29" s="191">
        <f>-ER!J7</f>
        <v>454255.67988888122</v>
      </c>
    </row>
    <row r="30" spans="1:10" x14ac:dyDescent="0.3">
      <c r="A30" s="24" t="s">
        <v>75</v>
      </c>
      <c r="B30" s="201">
        <f>+B19</f>
        <v>30292</v>
      </c>
      <c r="C30" s="191">
        <f>+B31</f>
        <v>28952</v>
      </c>
      <c r="D30" s="191">
        <f>+C31</f>
        <v>31043</v>
      </c>
      <c r="E30" s="191">
        <f t="shared" ref="E30:G30" si="29">+D31</f>
        <v>45809</v>
      </c>
      <c r="F30" s="191">
        <f t="shared" si="29"/>
        <v>57367</v>
      </c>
      <c r="G30" s="191">
        <f t="shared" si="29"/>
        <v>44150</v>
      </c>
      <c r="H30" s="191">
        <f t="shared" ref="H30:J30" si="30">+G31</f>
        <v>52414</v>
      </c>
      <c r="I30" s="191">
        <f t="shared" si="30"/>
        <v>57453.936077061997</v>
      </c>
      <c r="J30" s="191">
        <f t="shared" si="30"/>
        <v>57595.113363411176</v>
      </c>
    </row>
    <row r="31" spans="1:10" x14ac:dyDescent="0.3">
      <c r="A31" s="24" t="s">
        <v>76</v>
      </c>
      <c r="B31" s="191">
        <f>+ESF!B12</f>
        <v>28952</v>
      </c>
      <c r="C31" s="191">
        <f>+ESF!C12</f>
        <v>31043</v>
      </c>
      <c r="D31" s="191">
        <f>+ESF!D12</f>
        <v>45809</v>
      </c>
      <c r="E31" s="191">
        <f>+ESF!E12</f>
        <v>57367</v>
      </c>
      <c r="F31" s="191">
        <f>+ESF!F12</f>
        <v>44150</v>
      </c>
      <c r="G31" s="191">
        <f>+ESF!G12</f>
        <v>52414</v>
      </c>
      <c r="H31" s="191">
        <f>+ESF!H12</f>
        <v>57453.936077061997</v>
      </c>
      <c r="I31" s="191">
        <f>+ESF!I12</f>
        <v>57595.113363411176</v>
      </c>
      <c r="J31" s="191">
        <f>+ESF!J12</f>
        <v>63539.734606957165</v>
      </c>
    </row>
    <row r="32" spans="1:10" x14ac:dyDescent="0.3">
      <c r="A32" s="24" t="s">
        <v>85</v>
      </c>
      <c r="B32" s="202">
        <f t="shared" ref="B32:J32" si="31">B29+B31-B30</f>
        <v>164906</v>
      </c>
      <c r="C32" s="202">
        <f t="shared" si="31"/>
        <v>164081</v>
      </c>
      <c r="D32" s="202">
        <f t="shared" si="31"/>
        <v>304892</v>
      </c>
      <c r="E32" s="202">
        <f t="shared" ref="E32:G32" si="32">E29+E31-E30</f>
        <v>385214</v>
      </c>
      <c r="F32" s="202">
        <f t="shared" si="32"/>
        <v>341842</v>
      </c>
      <c r="G32" s="202">
        <f t="shared" si="32"/>
        <v>413264</v>
      </c>
      <c r="H32" s="202">
        <f t="shared" si="31"/>
        <v>417044.69636604446</v>
      </c>
      <c r="I32" s="202">
        <f t="shared" si="31"/>
        <v>431575.1126881236</v>
      </c>
      <c r="J32" s="202">
        <f t="shared" si="31"/>
        <v>460200.30113242724</v>
      </c>
    </row>
    <row r="34" spans="1:10" x14ac:dyDescent="0.3">
      <c r="B34" s="7">
        <v>2019</v>
      </c>
      <c r="C34" s="7">
        <v>2020</v>
      </c>
      <c r="D34" s="7">
        <v>2021</v>
      </c>
      <c r="E34" s="7">
        <v>2022</v>
      </c>
      <c r="F34" s="7">
        <v>2023</v>
      </c>
      <c r="G34" s="7">
        <v>2024</v>
      </c>
      <c r="H34" s="13">
        <v>2025</v>
      </c>
      <c r="I34" s="13">
        <v>2026</v>
      </c>
      <c r="J34" s="13">
        <v>2027</v>
      </c>
    </row>
    <row r="35" spans="1:10" x14ac:dyDescent="0.3">
      <c r="A35" s="24" t="s">
        <v>85</v>
      </c>
      <c r="B35" s="33">
        <f>B32</f>
        <v>164906</v>
      </c>
      <c r="C35" s="33">
        <f t="shared" ref="C35:J35" si="33">C32</f>
        <v>164081</v>
      </c>
      <c r="D35" s="33">
        <f t="shared" si="33"/>
        <v>304892</v>
      </c>
      <c r="E35" s="33">
        <f t="shared" ref="E35:G35" si="34">E32</f>
        <v>385214</v>
      </c>
      <c r="F35" s="33">
        <f t="shared" si="34"/>
        <v>341842</v>
      </c>
      <c r="G35" s="33">
        <f t="shared" si="34"/>
        <v>413264</v>
      </c>
      <c r="H35" s="33">
        <f t="shared" si="33"/>
        <v>417044.69636604446</v>
      </c>
      <c r="I35" s="33">
        <f t="shared" si="33"/>
        <v>431575.1126881236</v>
      </c>
      <c r="J35" s="33">
        <f t="shared" si="33"/>
        <v>460200.30113242724</v>
      </c>
    </row>
    <row r="36" spans="1:10" x14ac:dyDescent="0.3">
      <c r="A36" s="24" t="s">
        <v>90</v>
      </c>
      <c r="B36" s="229">
        <v>49662</v>
      </c>
      <c r="C36" s="33">
        <f>+ESF!B30+ESF!B29</f>
        <v>47859</v>
      </c>
      <c r="D36" s="33">
        <f>+C37</f>
        <v>53860</v>
      </c>
      <c r="E36" s="33">
        <f t="shared" ref="E36:G36" si="35">+D37</f>
        <v>84137</v>
      </c>
      <c r="F36" s="33">
        <f t="shared" si="35"/>
        <v>130367</v>
      </c>
      <c r="G36" s="33">
        <f t="shared" si="35"/>
        <v>123283</v>
      </c>
      <c r="H36" s="33">
        <f t="shared" ref="H36:J36" si="36">+G37</f>
        <v>128377</v>
      </c>
      <c r="I36" s="33">
        <f t="shared" si="36"/>
        <v>119532.9028398153</v>
      </c>
      <c r="J36" s="33">
        <f t="shared" si="36"/>
        <v>137014.52525812484</v>
      </c>
    </row>
    <row r="37" spans="1:10" x14ac:dyDescent="0.3">
      <c r="A37" s="24" t="s">
        <v>91</v>
      </c>
      <c r="B37" s="20">
        <f>+B43+B44</f>
        <v>47859</v>
      </c>
      <c r="C37" s="20">
        <f t="shared" ref="C37:D37" si="37">+C43+C44</f>
        <v>53860</v>
      </c>
      <c r="D37" s="20">
        <f t="shared" si="37"/>
        <v>84137</v>
      </c>
      <c r="E37" s="20">
        <f t="shared" ref="E37:G37" si="38">+E43+E44</f>
        <v>130367</v>
      </c>
      <c r="F37" s="20">
        <f t="shared" si="38"/>
        <v>123283</v>
      </c>
      <c r="G37" s="20">
        <f t="shared" si="38"/>
        <v>128377</v>
      </c>
      <c r="H37" s="20">
        <f>2*H32/360*H40-G37</f>
        <v>119532.9028398153</v>
      </c>
      <c r="I37" s="20">
        <f t="shared" ref="I37:J37" si="39">2*I32/360*I40-H37</f>
        <v>137014.52525812484</v>
      </c>
      <c r="J37" s="20">
        <f t="shared" si="39"/>
        <v>136548.9870817069</v>
      </c>
    </row>
    <row r="38" spans="1:10" x14ac:dyDescent="0.3">
      <c r="A38" s="24" t="s">
        <v>87</v>
      </c>
      <c r="B38" s="20">
        <f>+AVERAGE(B36:B37)</f>
        <v>48760.5</v>
      </c>
      <c r="C38" s="20">
        <f>+AVERAGE(C36:C37)</f>
        <v>50859.5</v>
      </c>
      <c r="D38" s="20">
        <f t="shared" ref="D38:J38" si="40">+AVERAGE(D36:D37)</f>
        <v>68998.5</v>
      </c>
      <c r="E38" s="20">
        <f t="shared" ref="E38:G38" si="41">+AVERAGE(E36:E37)</f>
        <v>107252</v>
      </c>
      <c r="F38" s="20">
        <f t="shared" si="41"/>
        <v>126825</v>
      </c>
      <c r="G38" s="20">
        <f t="shared" si="41"/>
        <v>125830</v>
      </c>
      <c r="H38" s="20">
        <f t="shared" si="40"/>
        <v>123954.95141990765</v>
      </c>
      <c r="I38" s="20">
        <f t="shared" si="40"/>
        <v>128273.71404897007</v>
      </c>
      <c r="J38" s="20">
        <f t="shared" si="40"/>
        <v>136781.75616991587</v>
      </c>
    </row>
    <row r="39" spans="1:10" x14ac:dyDescent="0.3">
      <c r="A39" s="24" t="s">
        <v>88</v>
      </c>
      <c r="B39" s="230">
        <f t="shared" ref="B39" si="42">B35/B38</f>
        <v>3.3819587576009269</v>
      </c>
      <c r="C39" s="230">
        <f t="shared" ref="C39:J39" si="43">C35/C38</f>
        <v>3.2261622705689201</v>
      </c>
      <c r="D39" s="230">
        <f t="shared" si="43"/>
        <v>4.4188206990007028</v>
      </c>
      <c r="E39" s="230">
        <f t="shared" ref="E39:G39" si="44">E35/E38</f>
        <v>3.5916719501734233</v>
      </c>
      <c r="F39" s="230">
        <f t="shared" si="44"/>
        <v>2.6953834023260397</v>
      </c>
      <c r="G39" s="230">
        <f t="shared" si="44"/>
        <v>3.2843042199793371</v>
      </c>
      <c r="H39" s="231">
        <f t="shared" si="43"/>
        <v>3.3644859813084116</v>
      </c>
      <c r="I39" s="231">
        <f t="shared" si="43"/>
        <v>3.3644859813084111</v>
      </c>
      <c r="J39" s="231">
        <f t="shared" si="43"/>
        <v>3.3644859813084111</v>
      </c>
    </row>
    <row r="40" spans="1:10" x14ac:dyDescent="0.3">
      <c r="A40" s="24" t="s">
        <v>66</v>
      </c>
      <c r="B40" s="203">
        <f t="shared" ref="B40" si="45">360/B39</f>
        <v>106.44718809503597</v>
      </c>
      <c r="C40" s="203">
        <f t="shared" ref="C40:D40" si="46">360/C39</f>
        <v>111.58769144507896</v>
      </c>
      <c r="D40" s="203">
        <f t="shared" si="46"/>
        <v>81.469700746493842</v>
      </c>
      <c r="E40" s="203">
        <f t="shared" ref="E40:G40" si="47">360/E39</f>
        <v>100.23187111579537</v>
      </c>
      <c r="F40" s="203">
        <f t="shared" si="47"/>
        <v>133.56170394509746</v>
      </c>
      <c r="G40" s="203">
        <f t="shared" si="47"/>
        <v>109.61225753997445</v>
      </c>
      <c r="H40" s="203">
        <f>Supuestos!$G$7</f>
        <v>107</v>
      </c>
      <c r="I40" s="203">
        <f>Supuestos!$G$7</f>
        <v>107</v>
      </c>
      <c r="J40" s="203">
        <f>Supuestos!$G$7</f>
        <v>107</v>
      </c>
    </row>
    <row r="42" spans="1:10" x14ac:dyDescent="0.3">
      <c r="B42" s="7">
        <v>2019</v>
      </c>
      <c r="C42" s="7">
        <v>2020</v>
      </c>
      <c r="D42" s="7">
        <v>2021</v>
      </c>
      <c r="E42" s="7">
        <v>2022</v>
      </c>
      <c r="F42" s="7">
        <v>2023</v>
      </c>
      <c r="G42" s="7">
        <v>2024</v>
      </c>
      <c r="H42" s="13">
        <v>2025</v>
      </c>
      <c r="I42" s="13">
        <v>2026</v>
      </c>
      <c r="J42" s="13">
        <v>2027</v>
      </c>
    </row>
    <row r="43" spans="1:10" ht="28.8" x14ac:dyDescent="0.3">
      <c r="A43" s="24" t="s">
        <v>89</v>
      </c>
      <c r="B43" s="41">
        <f>+ESF!B29</f>
        <v>42680</v>
      </c>
      <c r="C43" s="41">
        <f>+ESF!C29</f>
        <v>45104</v>
      </c>
      <c r="D43" s="41">
        <f>+ESF!D29</f>
        <v>63905</v>
      </c>
      <c r="E43" s="41">
        <f>+ESF!E29</f>
        <v>110118</v>
      </c>
      <c r="F43" s="41">
        <f>+ESF!F29</f>
        <v>109401</v>
      </c>
      <c r="G43" s="41">
        <f>+ESF!G29</f>
        <v>104317</v>
      </c>
      <c r="H43" s="20">
        <f>+H37*Supuestos!$G$10</f>
        <v>100096.85283806134</v>
      </c>
      <c r="I43" s="20">
        <f>+I37*Supuestos!$G$10</f>
        <v>114735.96345115374</v>
      </c>
      <c r="J43" s="20">
        <f>+J37*Supuestos!$G$10</f>
        <v>114346.12178222137</v>
      </c>
    </row>
    <row r="44" spans="1:10" x14ac:dyDescent="0.3">
      <c r="A44" s="24" t="s">
        <v>86</v>
      </c>
      <c r="B44" s="20">
        <f>+ESF!B30</f>
        <v>5179</v>
      </c>
      <c r="C44" s="20">
        <f>+ESF!C30</f>
        <v>8756</v>
      </c>
      <c r="D44" s="20">
        <f>+ESF!D30</f>
        <v>20232</v>
      </c>
      <c r="E44" s="20">
        <f>+ESF!E30</f>
        <v>20249</v>
      </c>
      <c r="F44" s="20">
        <f>+ESF!F30</f>
        <v>13882</v>
      </c>
      <c r="G44" s="20">
        <f>+ESF!G30</f>
        <v>24060</v>
      </c>
      <c r="H44" s="20">
        <f t="shared" ref="H44:J44" si="48">+H37-H43</f>
        <v>19436.05000175396</v>
      </c>
      <c r="I44" s="20">
        <f t="shared" si="48"/>
        <v>22278.561806971091</v>
      </c>
      <c r="J44" s="20">
        <f t="shared" si="48"/>
        <v>22202.865299485537</v>
      </c>
    </row>
    <row r="46" spans="1:10" x14ac:dyDescent="0.3">
      <c r="A46" s="91" t="s">
        <v>102</v>
      </c>
      <c r="B46" s="25">
        <f t="shared" ref="B46:J46" si="49">+B23+B13-B40</f>
        <v>-6.2599436775414574E-2</v>
      </c>
      <c r="C46" s="25">
        <f t="shared" si="49"/>
        <v>-5.1270338247288123</v>
      </c>
      <c r="D46" s="25">
        <f t="shared" si="49"/>
        <v>-8.8423992781692533</v>
      </c>
      <c r="E46" s="25">
        <f t="shared" si="49"/>
        <v>-27.025515416334201</v>
      </c>
      <c r="F46" s="25">
        <f t="shared" si="49"/>
        <v>-58.609661385561694</v>
      </c>
      <c r="G46" s="25">
        <f t="shared" si="49"/>
        <v>-45.037610773805298</v>
      </c>
      <c r="H46" s="25">
        <f t="shared" si="49"/>
        <v>-36</v>
      </c>
      <c r="I46" s="25">
        <f t="shared" si="49"/>
        <v>-36</v>
      </c>
      <c r="J46" s="25">
        <f t="shared" si="49"/>
        <v>-36</v>
      </c>
    </row>
    <row r="47" spans="1:10" x14ac:dyDescent="0.3">
      <c r="B47" s="37"/>
      <c r="C47" s="37"/>
      <c r="D47" s="37"/>
      <c r="E47" s="37"/>
      <c r="F47" s="37"/>
      <c r="G47" s="37"/>
      <c r="H47" s="31"/>
    </row>
    <row r="48" spans="1:10" x14ac:dyDescent="0.3">
      <c r="B48" s="31"/>
    </row>
    <row r="49" spans="2:2" x14ac:dyDescent="0.3">
      <c r="B49" s="3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8CE8-7696-4CDB-B9EA-B61FB25F9E8D}">
  <dimension ref="A4:J19"/>
  <sheetViews>
    <sheetView showGridLines="0" zoomScaleNormal="100" workbookViewId="0">
      <pane ySplit="3" topLeftCell="A4" activePane="bottomLeft" state="frozen"/>
      <selection pane="bottomLeft" activeCell="F24" sqref="F24"/>
    </sheetView>
  </sheetViews>
  <sheetFormatPr baseColWidth="10" defaultRowHeight="14.4" x14ac:dyDescent="0.3"/>
  <cols>
    <col min="1" max="1" width="28.109375" customWidth="1"/>
  </cols>
  <sheetData>
    <row r="4" spans="1:10" ht="23.4" x14ac:dyDescent="0.45">
      <c r="A4" s="30" t="s">
        <v>5</v>
      </c>
    </row>
    <row r="6" spans="1:10" x14ac:dyDescent="0.3">
      <c r="B6" s="7">
        <v>2019</v>
      </c>
      <c r="C6" s="7">
        <v>2020</v>
      </c>
      <c r="D6" s="7">
        <v>2021</v>
      </c>
      <c r="E6" s="7">
        <v>2022</v>
      </c>
      <c r="F6" s="7">
        <v>2023</v>
      </c>
      <c r="G6" s="7">
        <v>2024</v>
      </c>
      <c r="H6" s="13">
        <v>2025</v>
      </c>
      <c r="I6" s="13">
        <v>2026</v>
      </c>
      <c r="J6" s="13">
        <v>2027</v>
      </c>
    </row>
    <row r="7" spans="1:10" x14ac:dyDescent="0.3">
      <c r="A7" t="s">
        <v>70</v>
      </c>
      <c r="B7" s="20">
        <f>+ESF!B10</f>
        <v>23597</v>
      </c>
      <c r="C7" s="20">
        <f>+ESF!C10</f>
        <v>21589</v>
      </c>
      <c r="D7" s="20">
        <f>+ESF!D10</f>
        <v>19573</v>
      </c>
      <c r="E7" s="20">
        <f>+ESF!E10</f>
        <v>53628</v>
      </c>
      <c r="F7" s="20">
        <f>+ESF!F10</f>
        <v>66550</v>
      </c>
      <c r="G7" s="20">
        <f>+ESF!G10</f>
        <v>62623</v>
      </c>
      <c r="H7" s="20">
        <f>+G7-H8</f>
        <v>6567</v>
      </c>
      <c r="I7" s="20">
        <f>+H7-I8</f>
        <v>6567</v>
      </c>
      <c r="J7" s="20">
        <f>+I7-J8</f>
        <v>6567</v>
      </c>
    </row>
    <row r="8" spans="1:10" x14ac:dyDescent="0.3">
      <c r="A8" t="s">
        <v>71</v>
      </c>
      <c r="B8" s="21"/>
      <c r="C8" s="21"/>
      <c r="D8" s="21"/>
      <c r="E8" s="21"/>
      <c r="F8" s="21"/>
      <c r="G8" s="21"/>
      <c r="H8" s="139">
        <f>+Supuestos!G15</f>
        <v>56056</v>
      </c>
      <c r="I8" s="139">
        <f>+Supuestos!H15</f>
        <v>0</v>
      </c>
      <c r="J8" s="139">
        <f>+Supuestos!I15</f>
        <v>0</v>
      </c>
    </row>
    <row r="10" spans="1:10" ht="23.4" x14ac:dyDescent="0.45">
      <c r="A10" s="30" t="s">
        <v>6</v>
      </c>
    </row>
    <row r="11" spans="1:10" x14ac:dyDescent="0.3">
      <c r="A11" s="7" t="s">
        <v>0</v>
      </c>
      <c r="B11" s="7">
        <v>2019</v>
      </c>
      <c r="C11" s="7">
        <v>2020</v>
      </c>
      <c r="D11" s="7">
        <v>2021</v>
      </c>
      <c r="E11" s="7">
        <v>2022</v>
      </c>
      <c r="F11" s="7">
        <v>2023</v>
      </c>
      <c r="G11" s="7">
        <v>2024</v>
      </c>
      <c r="H11" s="13">
        <v>2025</v>
      </c>
      <c r="I11" s="13">
        <v>2026</v>
      </c>
      <c r="J11" s="13">
        <v>2027</v>
      </c>
    </row>
    <row r="12" spans="1:10" x14ac:dyDescent="0.3">
      <c r="A12" s="20" t="str">
        <f>+ER!A6</f>
        <v>Ingresos de actividades ordinarias</v>
      </c>
      <c r="B12" s="32">
        <f>+ER!B6</f>
        <v>199619</v>
      </c>
      <c r="C12" s="32">
        <f>+ER!C6</f>
        <v>187321</v>
      </c>
      <c r="D12" s="32">
        <f>+ER!D6</f>
        <v>330211</v>
      </c>
      <c r="E12" s="32">
        <f>+ER!E6</f>
        <v>424158</v>
      </c>
      <c r="F12" s="32">
        <f>+ER!F6</f>
        <v>400661</v>
      </c>
      <c r="G12" s="32">
        <f>+ER!G6</f>
        <v>452250</v>
      </c>
      <c r="H12" s="32">
        <f>+ER!H6</f>
        <v>470950.01569999999</v>
      </c>
      <c r="I12" s="32">
        <f>+ER!I6</f>
        <v>493161.3159470699</v>
      </c>
      <c r="J12" s="32">
        <f>+ER!J6</f>
        <v>519243.41512419953</v>
      </c>
    </row>
    <row r="13" spans="1:10" x14ac:dyDescent="0.3">
      <c r="A13" s="21" t="str">
        <f>+ESF!A11</f>
        <v>Otras Cuentas por Cobrar</v>
      </c>
      <c r="B13" s="32">
        <f>+ESF!B11</f>
        <v>3367</v>
      </c>
      <c r="C13" s="32">
        <f>+ESF!C11</f>
        <v>4791</v>
      </c>
      <c r="D13" s="32">
        <f>+ESF!D11</f>
        <v>7889</v>
      </c>
      <c r="E13" s="32">
        <f>+ESF!E11</f>
        <v>13573</v>
      </c>
      <c r="F13" s="32">
        <f>+ESF!F11</f>
        <v>8319</v>
      </c>
      <c r="G13" s="32">
        <f>+ESF!G11</f>
        <v>15067</v>
      </c>
      <c r="H13" s="32">
        <f>+H12*Supuestos!$G$18</f>
        <v>12527.270417619999</v>
      </c>
      <c r="I13" s="32">
        <f>+I12*Supuestos!$G$18</f>
        <v>13118.091004192058</v>
      </c>
      <c r="J13" s="32">
        <f>+J12*Supuestos!$G$18</f>
        <v>13811.874842303707</v>
      </c>
    </row>
    <row r="15" spans="1:10" ht="23.4" x14ac:dyDescent="0.45">
      <c r="A15" s="30" t="s">
        <v>77</v>
      </c>
    </row>
    <row r="17" spans="1:10" x14ac:dyDescent="0.3">
      <c r="B17" s="7">
        <v>2019</v>
      </c>
      <c r="C17" s="7">
        <v>2020</v>
      </c>
      <c r="D17" s="7">
        <v>2021</v>
      </c>
      <c r="E17" s="7">
        <v>2022</v>
      </c>
      <c r="F17" s="7">
        <v>2023</v>
      </c>
      <c r="G17" s="7">
        <v>2024</v>
      </c>
      <c r="H17" s="13">
        <v>2025</v>
      </c>
      <c r="I17" s="13">
        <v>2026</v>
      </c>
      <c r="J17" s="13">
        <v>2027</v>
      </c>
    </row>
    <row r="18" spans="1:10" x14ac:dyDescent="0.3">
      <c r="A18" s="21" t="s">
        <v>70</v>
      </c>
      <c r="B18" s="20">
        <f>+ESF!B17</f>
        <v>2080</v>
      </c>
      <c r="C18" s="20">
        <f>+ESF!C17</f>
        <v>11016</v>
      </c>
      <c r="D18" s="20">
        <f>+ESF!D17</f>
        <v>10991</v>
      </c>
      <c r="E18" s="20">
        <f>+ESF!E17</f>
        <v>11074</v>
      </c>
      <c r="F18" s="20">
        <f>+ESF!F17</f>
        <v>11151</v>
      </c>
      <c r="G18" s="20">
        <f>+ESF!G17</f>
        <v>11369</v>
      </c>
      <c r="H18" s="20">
        <f>+G18-H19</f>
        <v>11369</v>
      </c>
      <c r="I18" s="20">
        <f>+H18-I19</f>
        <v>11369</v>
      </c>
      <c r="J18" s="20">
        <f>+I18-J19</f>
        <v>11369</v>
      </c>
    </row>
    <row r="19" spans="1:10" x14ac:dyDescent="0.3">
      <c r="A19" s="21" t="s">
        <v>78</v>
      </c>
      <c r="B19" s="21"/>
      <c r="C19" s="21"/>
      <c r="D19" s="21"/>
      <c r="E19" s="21"/>
      <c r="F19" s="21"/>
      <c r="G19" s="21"/>
      <c r="H19" s="139">
        <f>+Supuestos!G35</f>
        <v>0</v>
      </c>
      <c r="I19" s="139">
        <f>+Supuestos!H35</f>
        <v>0</v>
      </c>
      <c r="J19" s="139">
        <f>+Supuestos!I35</f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C6CF-DC29-460D-8616-9640BE016B36}">
  <dimension ref="A4:J14"/>
  <sheetViews>
    <sheetView showGridLines="0" workbookViewId="0">
      <pane ySplit="3" topLeftCell="A4" activePane="bottomLeft" state="frozen"/>
      <selection pane="bottomLeft" activeCell="C22" sqref="C22"/>
    </sheetView>
  </sheetViews>
  <sheetFormatPr baseColWidth="10" defaultRowHeight="14.4" x14ac:dyDescent="0.3"/>
  <cols>
    <col min="1" max="1" width="30.44140625" bestFit="1" customWidth="1"/>
  </cols>
  <sheetData>
    <row r="4" spans="1:10" x14ac:dyDescent="0.3">
      <c r="A4" s="141" t="s">
        <v>0</v>
      </c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13">
        <v>2025</v>
      </c>
      <c r="I4" s="13">
        <v>2026</v>
      </c>
      <c r="J4" s="13">
        <v>2027</v>
      </c>
    </row>
    <row r="5" spans="1:10" x14ac:dyDescent="0.3">
      <c r="A5" s="21" t="str">
        <f>+ER!A6</f>
        <v>Ingresos de actividades ordinarias</v>
      </c>
      <c r="B5" s="32">
        <f>+ER!B6</f>
        <v>199619</v>
      </c>
      <c r="C5" s="32">
        <f>+ER!C6</f>
        <v>187321</v>
      </c>
      <c r="D5" s="32">
        <f>+ER!D6</f>
        <v>330211</v>
      </c>
      <c r="E5" s="32">
        <f>+ER!E6</f>
        <v>424158</v>
      </c>
      <c r="F5" s="32">
        <f>+ER!F6</f>
        <v>400661</v>
      </c>
      <c r="G5" s="32">
        <f>+ER!G6</f>
        <v>452250</v>
      </c>
      <c r="H5" s="32">
        <f>+ER!H6</f>
        <v>470950.01569999999</v>
      </c>
      <c r="I5" s="32">
        <f>+ER!I6</f>
        <v>493161.3159470699</v>
      </c>
      <c r="J5" s="32">
        <f>+ER!J6</f>
        <v>519243.41512419953</v>
      </c>
    </row>
    <row r="8" spans="1:10" x14ac:dyDescent="0.3">
      <c r="A8" s="141" t="s">
        <v>0</v>
      </c>
      <c r="B8" s="7">
        <v>2019</v>
      </c>
      <c r="C8" s="7">
        <v>2020</v>
      </c>
      <c r="D8" s="7">
        <v>2021</v>
      </c>
      <c r="E8" s="7">
        <v>2022</v>
      </c>
      <c r="F8" s="7">
        <v>2023</v>
      </c>
      <c r="G8" s="7">
        <v>2024</v>
      </c>
      <c r="H8" s="13">
        <v>2025</v>
      </c>
      <c r="I8" s="13">
        <v>2026</v>
      </c>
      <c r="J8" s="13">
        <v>2027</v>
      </c>
    </row>
    <row r="9" spans="1:10" x14ac:dyDescent="0.3">
      <c r="A9" s="21" t="str">
        <f>+ESF!A37</f>
        <v>Pasivos por arrendamientos</v>
      </c>
      <c r="B9" s="32">
        <f>+ESF!B33</f>
        <v>875</v>
      </c>
      <c r="C9" s="32">
        <f>+ESF!C33</f>
        <v>4076</v>
      </c>
      <c r="D9" s="32">
        <f>+ESF!D33</f>
        <v>3088</v>
      </c>
      <c r="E9" s="32">
        <f>+ESF!E33</f>
        <v>2781</v>
      </c>
      <c r="F9" s="32">
        <f>+ESF!F33</f>
        <v>3019</v>
      </c>
      <c r="G9" s="32">
        <f>+ESF!G33</f>
        <v>3028</v>
      </c>
      <c r="H9" s="32">
        <f>+H11*Supuestos!$G$39</f>
        <v>3986.2339608885677</v>
      </c>
      <c r="I9" s="32">
        <f>+I11*Supuestos!$G$39</f>
        <v>4174.2357368918265</v>
      </c>
      <c r="J9" s="32">
        <f>+J11*Supuestos!$G$39</f>
        <v>4395.0008840308546</v>
      </c>
    </row>
    <row r="10" spans="1:10" x14ac:dyDescent="0.3">
      <c r="A10" s="21" t="str">
        <f>+ESF!A37</f>
        <v>Pasivos por arrendamientos</v>
      </c>
      <c r="B10" s="32">
        <f>+ESF!B37</f>
        <v>2934</v>
      </c>
      <c r="C10" s="32">
        <f>+ESF!C37</f>
        <v>6246</v>
      </c>
      <c r="D10" s="32">
        <f>+ESF!D37</f>
        <v>3237</v>
      </c>
      <c r="E10" s="32">
        <f>+ESF!E37</f>
        <v>6168</v>
      </c>
      <c r="F10" s="32">
        <f>+ESF!F37</f>
        <v>3250</v>
      </c>
      <c r="G10" s="32">
        <f>+ESF!G37</f>
        <v>10725</v>
      </c>
      <c r="H10" s="32">
        <f>+H11-H9</f>
        <v>7693.3264284714323</v>
      </c>
      <c r="I10" s="32">
        <f t="shared" ref="I10:J10" si="0">+I11-I9</f>
        <v>8056.1648985955062</v>
      </c>
      <c r="J10" s="32">
        <f t="shared" si="0"/>
        <v>8482.2358110492933</v>
      </c>
    </row>
    <row r="11" spans="1:10" x14ac:dyDescent="0.3">
      <c r="A11" s="21" t="s">
        <v>223</v>
      </c>
      <c r="B11" s="32">
        <f>+SUM(B9:B10)</f>
        <v>3809</v>
      </c>
      <c r="C11" s="32">
        <f>+SUM(C9:C10)</f>
        <v>10322</v>
      </c>
      <c r="D11" s="32">
        <f t="shared" ref="D11" si="1">+SUM(D9:D10)</f>
        <v>6325</v>
      </c>
      <c r="E11" s="32">
        <f t="shared" ref="E11:G11" si="2">+SUM(E9:E10)</f>
        <v>8949</v>
      </c>
      <c r="F11" s="32">
        <f t="shared" si="2"/>
        <v>6269</v>
      </c>
      <c r="G11" s="32">
        <f t="shared" si="2"/>
        <v>13753</v>
      </c>
      <c r="H11" s="32">
        <f>+H5*Supuestos!$G$38</f>
        <v>11679.56038936</v>
      </c>
      <c r="I11" s="32">
        <f>+I5*Supuestos!$G$38</f>
        <v>12230.400635487333</v>
      </c>
      <c r="J11" s="32">
        <f>+J5*Supuestos!$G$38</f>
        <v>12877.236695080148</v>
      </c>
    </row>
    <row r="13" spans="1:10" x14ac:dyDescent="0.3">
      <c r="A13" t="s">
        <v>180</v>
      </c>
      <c r="B13" s="17">
        <f>+B9/B$11</f>
        <v>0.22971908637437646</v>
      </c>
      <c r="C13" s="17">
        <f>+C9/C$11</f>
        <v>0.39488471226506489</v>
      </c>
      <c r="D13" s="17">
        <f t="shared" ref="D13" si="3">+D9/D$11</f>
        <v>0.48822134387351779</v>
      </c>
      <c r="E13" s="17">
        <f t="shared" ref="E13:G13" si="4">+E9/E$11</f>
        <v>0.31076097888032184</v>
      </c>
      <c r="F13" s="17">
        <f t="shared" si="4"/>
        <v>0.48157600893284414</v>
      </c>
      <c r="G13" s="17">
        <f t="shared" si="4"/>
        <v>0.22017014469570276</v>
      </c>
    </row>
    <row r="14" spans="1:10" x14ac:dyDescent="0.3">
      <c r="B14" s="17">
        <f t="shared" ref="B14" si="5">+B10/B$11</f>
        <v>0.77028091362562356</v>
      </c>
      <c r="C14" s="17">
        <f t="shared" ref="C14:D14" si="6">+C10/C$11</f>
        <v>0.60511528773493506</v>
      </c>
      <c r="D14" s="17">
        <f t="shared" si="6"/>
        <v>0.51177865612648221</v>
      </c>
      <c r="E14" s="17">
        <f t="shared" ref="E14:G14" si="7">+E10/E$11</f>
        <v>0.68923902111967816</v>
      </c>
      <c r="F14" s="17">
        <f t="shared" si="7"/>
        <v>0.51842399106715586</v>
      </c>
      <c r="G14" s="17">
        <f t="shared" si="7"/>
        <v>0.77982985530429727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1B9E-2226-4AE1-8E71-7EE1C1A32BF8}">
  <dimension ref="A4:G51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RowHeight="14.4" x14ac:dyDescent="0.3"/>
  <cols>
    <col min="1" max="1" width="58.44140625" style="146" bestFit="1" customWidth="1"/>
    <col min="2" max="16384" width="11.5546875" style="146"/>
  </cols>
  <sheetData>
    <row r="4" spans="1:7" ht="22.2" x14ac:dyDescent="0.45">
      <c r="B4" s="147" t="s">
        <v>108</v>
      </c>
      <c r="C4" s="105"/>
      <c r="D4" s="105"/>
    </row>
    <row r="5" spans="1:7" x14ac:dyDescent="0.3">
      <c r="A5" s="7" t="s">
        <v>0</v>
      </c>
      <c r="B5" s="42" t="s">
        <v>109</v>
      </c>
      <c r="C5" s="42" t="s">
        <v>211</v>
      </c>
      <c r="D5" s="42" t="s">
        <v>228</v>
      </c>
    </row>
    <row r="6" spans="1:7" x14ac:dyDescent="0.3">
      <c r="A6" s="2" t="s">
        <v>1</v>
      </c>
      <c r="B6" s="3"/>
      <c r="C6" s="3"/>
      <c r="D6" s="3"/>
    </row>
    <row r="7" spans="1:7" x14ac:dyDescent="0.3">
      <c r="A7" s="2" t="s">
        <v>2</v>
      </c>
      <c r="B7" s="3"/>
      <c r="C7" s="3"/>
      <c r="D7" s="3"/>
    </row>
    <row r="8" spans="1:7" x14ac:dyDescent="0.3">
      <c r="A8" s="148" t="s">
        <v>3</v>
      </c>
      <c r="B8" s="4"/>
      <c r="C8" s="4"/>
      <c r="D8" s="4"/>
    </row>
    <row r="9" spans="1:7" x14ac:dyDescent="0.3">
      <c r="A9" s="148" t="s">
        <v>4</v>
      </c>
      <c r="B9" s="4">
        <f>-(ESF!H9-ESF!G9)</f>
        <v>-1914.9464505555516</v>
      </c>
      <c r="C9" s="4">
        <f>-(ESF!I9-ESF!H9)</f>
        <v>-923.16413657004887</v>
      </c>
      <c r="D9" s="4">
        <f>-(ESF!J9-ESF!I9)</f>
        <v>-2409.5485360631865</v>
      </c>
      <c r="F9" s="149"/>
      <c r="G9" s="212"/>
    </row>
    <row r="10" spans="1:7" x14ac:dyDescent="0.3">
      <c r="A10" s="148" t="s">
        <v>5</v>
      </c>
      <c r="B10" s="4">
        <f>-(ESF!H10-ESF!G10)</f>
        <v>56056</v>
      </c>
      <c r="C10" s="4">
        <f>-(ESF!I10-ESF!H10)</f>
        <v>0</v>
      </c>
      <c r="D10" s="4">
        <f>-(ESF!J10-ESF!I10)</f>
        <v>0</v>
      </c>
      <c r="F10" s="149"/>
      <c r="G10" s="212"/>
    </row>
    <row r="11" spans="1:7" x14ac:dyDescent="0.3">
      <c r="A11" s="148" t="s">
        <v>6</v>
      </c>
      <c r="B11" s="4">
        <f>-(ESF!H11-ESF!G11)</f>
        <v>2539.7295823800014</v>
      </c>
      <c r="C11" s="4">
        <f>-(ESF!I11-ESF!H11)</f>
        <v>-590.82058657205926</v>
      </c>
      <c r="D11" s="4">
        <f>-(ESF!J11-ESF!I11)</f>
        <v>-693.78383811164895</v>
      </c>
      <c r="F11" s="149"/>
    </row>
    <row r="12" spans="1:7" x14ac:dyDescent="0.3">
      <c r="A12" s="148" t="s">
        <v>7</v>
      </c>
      <c r="B12" s="4">
        <f>-(ESF!H12-ESF!G12)</f>
        <v>-5039.9360770619969</v>
      </c>
      <c r="C12" s="4">
        <f>-(ESF!I12-ESF!H12)</f>
        <v>-141.17728634917876</v>
      </c>
      <c r="D12" s="4">
        <f>-(ESF!J12-ESF!I12)</f>
        <v>-5944.6212435459893</v>
      </c>
      <c r="F12" s="149"/>
    </row>
    <row r="13" spans="1:7" x14ac:dyDescent="0.3">
      <c r="A13" s="148" t="s">
        <v>55</v>
      </c>
      <c r="B13" s="4">
        <f>-(ESF!H13-ESF!G13)</f>
        <v>0</v>
      </c>
      <c r="C13" s="4">
        <f>-(ESF!I13-ESF!H13)</f>
        <v>0</v>
      </c>
      <c r="D13" s="4">
        <f>-(ESF!J13-ESF!I13)</f>
        <v>0</v>
      </c>
      <c r="F13" s="149"/>
    </row>
    <row r="14" spans="1:7" x14ac:dyDescent="0.3">
      <c r="A14" s="148" t="s">
        <v>54</v>
      </c>
      <c r="B14" s="4">
        <f>-(ESF!H14-ESF!G14)</f>
        <v>0</v>
      </c>
      <c r="C14" s="4">
        <f>-(ESF!I14-ESF!H14)</f>
        <v>0</v>
      </c>
      <c r="D14" s="4">
        <f>-(ESF!J14-ESF!I14)</f>
        <v>0</v>
      </c>
      <c r="F14" s="149"/>
    </row>
    <row r="15" spans="1:7" x14ac:dyDescent="0.3">
      <c r="A15" s="2" t="s">
        <v>8</v>
      </c>
      <c r="B15" s="5"/>
      <c r="C15" s="5"/>
      <c r="D15" s="5"/>
      <c r="F15" s="149"/>
    </row>
    <row r="16" spans="1:7" x14ac:dyDescent="0.3">
      <c r="A16" s="2" t="s">
        <v>9</v>
      </c>
      <c r="B16" s="3"/>
      <c r="C16" s="3"/>
      <c r="D16" s="3"/>
      <c r="F16" s="149"/>
    </row>
    <row r="17" spans="1:6" x14ac:dyDescent="0.3">
      <c r="A17" s="148" t="s">
        <v>40</v>
      </c>
      <c r="B17" s="4">
        <f>-(ESF!H17-ESF!G17)</f>
        <v>0</v>
      </c>
      <c r="C17" s="4">
        <f>-(ESF!I17-ESF!H17)</f>
        <v>0</v>
      </c>
      <c r="D17" s="4">
        <f>-(ESF!J17-ESF!I17)</f>
        <v>0</v>
      </c>
      <c r="F17" s="149"/>
    </row>
    <row r="18" spans="1:6" x14ac:dyDescent="0.3">
      <c r="A18" s="10" t="s">
        <v>10</v>
      </c>
      <c r="B18" s="4">
        <f>-(ESF!H18-ESF!G18)</f>
        <v>0</v>
      </c>
      <c r="C18" s="4">
        <f>-(ESF!I18-ESF!H18)</f>
        <v>0</v>
      </c>
      <c r="D18" s="4">
        <f>-(ESF!J18-ESF!I18)</f>
        <v>0</v>
      </c>
      <c r="F18" s="149"/>
    </row>
    <row r="19" spans="1:6" x14ac:dyDescent="0.3">
      <c r="A19" s="148" t="s">
        <v>11</v>
      </c>
      <c r="B19" s="4">
        <f>-(ESF!H19-ESF!G19)</f>
        <v>-2209.8294287400022</v>
      </c>
      <c r="C19" s="4">
        <f>-(ESF!I19-ESF!H19)</f>
        <v>-2194.6243227794912</v>
      </c>
      <c r="D19" s="4">
        <f>-(ESF!J19-ESF!I19)</f>
        <v>-2212.5175840077463</v>
      </c>
      <c r="F19" s="149"/>
    </row>
    <row r="20" spans="1:6" x14ac:dyDescent="0.3">
      <c r="A20" s="148" t="s">
        <v>35</v>
      </c>
      <c r="B20" s="4">
        <f>-(ESF!H20-ESF!G20)</f>
        <v>0</v>
      </c>
      <c r="C20" s="4">
        <f>-(ESF!I20-ESF!H20)</f>
        <v>0</v>
      </c>
      <c r="D20" s="4">
        <f>-(ESF!J20-ESF!I20)</f>
        <v>0</v>
      </c>
      <c r="F20" s="149"/>
    </row>
    <row r="21" spans="1:6" x14ac:dyDescent="0.3">
      <c r="A21" s="148" t="s">
        <v>56</v>
      </c>
      <c r="B21" s="4">
        <f>-(ESF!H21-ESF!G21)</f>
        <v>773</v>
      </c>
      <c r="C21" s="4">
        <f>-(ESF!I21-ESF!H21)</f>
        <v>0</v>
      </c>
      <c r="D21" s="4">
        <f>-(ESF!J21-ESF!I21)</f>
        <v>0</v>
      </c>
      <c r="F21" s="149"/>
    </row>
    <row r="22" spans="1:6" x14ac:dyDescent="0.3">
      <c r="A22" s="148" t="s">
        <v>39</v>
      </c>
      <c r="B22" s="4">
        <f>-(ESF!H22-ESF!G22)</f>
        <v>2542.2446404700004</v>
      </c>
      <c r="C22" s="4">
        <f>-(ESF!I22-ESF!H22)</f>
        <v>-508.63877565790062</v>
      </c>
      <c r="D22" s="4">
        <f>-(ESF!J22-ESF!I22)</f>
        <v>-597.2800711562686</v>
      </c>
      <c r="F22" s="149"/>
    </row>
    <row r="23" spans="1:6" x14ac:dyDescent="0.3">
      <c r="A23" s="2" t="s">
        <v>12</v>
      </c>
      <c r="B23" s="5"/>
      <c r="C23" s="5"/>
      <c r="D23" s="5"/>
      <c r="F23" s="149"/>
    </row>
    <row r="24" spans="1:6" x14ac:dyDescent="0.3">
      <c r="A24" s="2" t="s">
        <v>13</v>
      </c>
      <c r="B24" s="5"/>
      <c r="C24" s="5"/>
      <c r="D24" s="5"/>
      <c r="F24" s="149"/>
    </row>
    <row r="25" spans="1:6" x14ac:dyDescent="0.3">
      <c r="B25" s="184"/>
      <c r="C25" s="184"/>
      <c r="D25" s="184"/>
      <c r="F25" s="149"/>
    </row>
    <row r="26" spans="1:6" x14ac:dyDescent="0.3">
      <c r="A26" s="2" t="s">
        <v>14</v>
      </c>
      <c r="B26" s="3"/>
      <c r="C26" s="3"/>
      <c r="D26" s="3"/>
      <c r="F26" s="149"/>
    </row>
    <row r="27" spans="1:6" x14ac:dyDescent="0.3">
      <c r="A27" s="2" t="s">
        <v>15</v>
      </c>
      <c r="B27" s="3"/>
      <c r="C27" s="3"/>
      <c r="D27" s="3"/>
      <c r="F27" s="149"/>
    </row>
    <row r="28" spans="1:6" x14ac:dyDescent="0.3">
      <c r="A28" s="148" t="s">
        <v>36</v>
      </c>
      <c r="B28" s="4">
        <f>ESF!H28-ESF!G28</f>
        <v>0</v>
      </c>
      <c r="C28" s="4">
        <f>ESF!I28-ESF!H28</f>
        <v>0</v>
      </c>
      <c r="D28" s="4">
        <f>ESF!J28-ESF!I28</f>
        <v>0</v>
      </c>
      <c r="F28" s="149"/>
    </row>
    <row r="29" spans="1:6" x14ac:dyDescent="0.3">
      <c r="A29" s="148" t="s">
        <v>52</v>
      </c>
      <c r="B29" s="4">
        <f>ESF!H29-ESF!G29</f>
        <v>-4220.1471619386575</v>
      </c>
      <c r="C29" s="4">
        <f>ESF!I29-ESF!H29</f>
        <v>14639.110613092402</v>
      </c>
      <c r="D29" s="4">
        <f>ESF!J29-ESF!I29</f>
        <v>-389.84166893237852</v>
      </c>
      <c r="F29" s="149"/>
    </row>
    <row r="30" spans="1:6" x14ac:dyDescent="0.3">
      <c r="A30" s="148" t="s">
        <v>16</v>
      </c>
      <c r="B30" s="4">
        <f>ESF!H30-ESF!G30</f>
        <v>-4623.9499982460402</v>
      </c>
      <c r="C30" s="4">
        <f>ESF!I30-ESF!H30</f>
        <v>2842.511805217131</v>
      </c>
      <c r="D30" s="4">
        <f>ESF!J30-ESF!I30</f>
        <v>-75.696507485554321</v>
      </c>
      <c r="F30" s="149"/>
    </row>
    <row r="31" spans="1:6" x14ac:dyDescent="0.3">
      <c r="A31" s="148" t="s">
        <v>17</v>
      </c>
      <c r="B31" s="4">
        <f>ESF!H31-ESF!G31</f>
        <v>0</v>
      </c>
      <c r="C31" s="4">
        <f>ESF!I31-ESF!H31</f>
        <v>0</v>
      </c>
      <c r="D31" s="4">
        <f>ESF!J31-ESF!I31</f>
        <v>0</v>
      </c>
      <c r="F31" s="149"/>
    </row>
    <row r="32" spans="1:6" x14ac:dyDescent="0.3">
      <c r="A32" s="148" t="s">
        <v>18</v>
      </c>
      <c r="B32" s="4">
        <f>ESF!H32-ESF!G32</f>
        <v>0</v>
      </c>
      <c r="C32" s="4">
        <f>ESF!I32-ESF!H32</f>
        <v>0</v>
      </c>
      <c r="D32" s="4">
        <f>ESF!J32-ESF!I32</f>
        <v>0</v>
      </c>
      <c r="F32" s="149"/>
    </row>
    <row r="33" spans="1:6" x14ac:dyDescent="0.3">
      <c r="A33" s="148" t="s">
        <v>53</v>
      </c>
      <c r="B33" s="4">
        <f>ESF!H33-ESF!G33</f>
        <v>958.23396088856771</v>
      </c>
      <c r="C33" s="4">
        <f>ESF!I33-ESF!H33</f>
        <v>188.00177600325878</v>
      </c>
      <c r="D33" s="4">
        <f>ESF!J33-ESF!I33</f>
        <v>220.76514713902816</v>
      </c>
      <c r="F33" s="149"/>
    </row>
    <row r="34" spans="1:6" x14ac:dyDescent="0.3">
      <c r="A34" s="2" t="s">
        <v>19</v>
      </c>
      <c r="B34" s="5"/>
      <c r="C34" s="5"/>
      <c r="D34" s="5"/>
      <c r="F34" s="149"/>
    </row>
    <row r="35" spans="1:6" x14ac:dyDescent="0.3">
      <c r="A35" s="2" t="s">
        <v>20</v>
      </c>
      <c r="B35" s="3"/>
      <c r="C35" s="3"/>
      <c r="D35" s="3"/>
      <c r="F35" s="149"/>
    </row>
    <row r="36" spans="1:6" x14ac:dyDescent="0.3">
      <c r="A36" s="148" t="s">
        <v>36</v>
      </c>
      <c r="B36" s="4">
        <f>ESF!H36-ESF!G36</f>
        <v>0</v>
      </c>
      <c r="C36" s="4">
        <f>ESF!I36-ESF!H36</f>
        <v>0</v>
      </c>
      <c r="D36" s="4">
        <f>ESF!J36-ESF!I36</f>
        <v>0</v>
      </c>
      <c r="F36" s="149"/>
    </row>
    <row r="37" spans="1:6" x14ac:dyDescent="0.3">
      <c r="A37" s="148" t="s">
        <v>53</v>
      </c>
      <c r="B37" s="4">
        <f>ESF!H37-ESF!G37</f>
        <v>-3031.6735715285677</v>
      </c>
      <c r="C37" s="4">
        <f>ESF!I37-ESF!H37</f>
        <v>362.83847012407387</v>
      </c>
      <c r="D37" s="4">
        <f>ESF!J37-ESF!I37</f>
        <v>426.07091245378706</v>
      </c>
      <c r="F37" s="149"/>
    </row>
    <row r="38" spans="1:6" x14ac:dyDescent="0.3">
      <c r="A38" s="148" t="s">
        <v>41</v>
      </c>
      <c r="B38" s="4">
        <f>ESF!H38-ESF!G38</f>
        <v>0</v>
      </c>
      <c r="C38" s="4">
        <f>ESF!I38-ESF!H38</f>
        <v>0</v>
      </c>
      <c r="D38" s="4">
        <f>ESF!J38-ESF!I38</f>
        <v>0</v>
      </c>
      <c r="F38" s="149"/>
    </row>
    <row r="39" spans="1:6" x14ac:dyDescent="0.3">
      <c r="A39" s="2" t="s">
        <v>21</v>
      </c>
      <c r="B39" s="5"/>
      <c r="C39" s="5"/>
      <c r="D39" s="5"/>
      <c r="F39" s="149"/>
    </row>
    <row r="40" spans="1:6" x14ac:dyDescent="0.3">
      <c r="A40" s="2" t="s">
        <v>22</v>
      </c>
      <c r="B40" s="5"/>
      <c r="C40" s="5"/>
      <c r="D40" s="5"/>
      <c r="F40" s="149"/>
    </row>
    <row r="41" spans="1:6" x14ac:dyDescent="0.3">
      <c r="B41" s="184"/>
      <c r="C41" s="184"/>
      <c r="D41" s="184"/>
      <c r="F41" s="149"/>
    </row>
    <row r="42" spans="1:6" x14ac:dyDescent="0.3">
      <c r="A42" s="2" t="s">
        <v>23</v>
      </c>
      <c r="B42" s="3"/>
      <c r="C42" s="3"/>
      <c r="D42" s="3"/>
      <c r="F42" s="149"/>
    </row>
    <row r="43" spans="1:6" x14ac:dyDescent="0.3">
      <c r="A43" s="148" t="s">
        <v>24</v>
      </c>
      <c r="B43" s="4">
        <f>ESF!H43-ESF!G43</f>
        <v>0</v>
      </c>
      <c r="C43" s="4">
        <f>ESF!I43-ESF!H43</f>
        <v>0</v>
      </c>
      <c r="D43" s="4">
        <f>ESF!J43-ESF!I43</f>
        <v>0</v>
      </c>
      <c r="F43" s="149"/>
    </row>
    <row r="44" spans="1:6" x14ac:dyDescent="0.3">
      <c r="A44" s="148" t="s">
        <v>37</v>
      </c>
      <c r="B44" s="4">
        <f>ESF!H44-ESF!G44</f>
        <v>0</v>
      </c>
      <c r="C44" s="4">
        <f>ESF!I44-ESF!H44</f>
        <v>0</v>
      </c>
      <c r="D44" s="4">
        <f>ESF!J44-ESF!I44</f>
        <v>0</v>
      </c>
      <c r="F44" s="149"/>
    </row>
    <row r="45" spans="1:6" x14ac:dyDescent="0.3">
      <c r="A45" s="148" t="s">
        <v>25</v>
      </c>
      <c r="B45" s="4">
        <f>ESF!H45-ESF!G45</f>
        <v>-0.3999999999996362</v>
      </c>
      <c r="C45" s="4">
        <f>ESF!I45-ESF!H45</f>
        <v>0</v>
      </c>
      <c r="D45" s="4">
        <f>ESF!J45-ESF!I45</f>
        <v>0</v>
      </c>
      <c r="F45" s="149"/>
    </row>
    <row r="46" spans="1:6" x14ac:dyDescent="0.3">
      <c r="A46" s="148" t="s">
        <v>26</v>
      </c>
      <c r="B46" s="4">
        <f>ESF!H46-ESF!G46</f>
        <v>4335.3733037934253</v>
      </c>
      <c r="C46" s="4">
        <f>ESF!I46-ESF!H46</f>
        <v>4536.4217260388177</v>
      </c>
      <c r="D46" s="4">
        <f>ESF!J46-ESF!I46</f>
        <v>4783.2577264842112</v>
      </c>
      <c r="F46" s="149"/>
    </row>
    <row r="47" spans="1:6" x14ac:dyDescent="0.3">
      <c r="A47" s="148" t="s">
        <v>38</v>
      </c>
      <c r="B47" s="4">
        <f>ESF!H47-ESF!G47</f>
        <v>0</v>
      </c>
      <c r="C47" s="4">
        <f>ESF!I47-ESF!H47</f>
        <v>0</v>
      </c>
      <c r="D47" s="4">
        <f>ESF!J47-ESF!I47</f>
        <v>0</v>
      </c>
      <c r="F47" s="149"/>
    </row>
    <row r="48" spans="1:6" x14ac:dyDescent="0.3">
      <c r="A48" s="2" t="s">
        <v>27</v>
      </c>
      <c r="B48" s="5"/>
      <c r="C48" s="5"/>
      <c r="D48" s="5"/>
      <c r="F48" s="149"/>
    </row>
    <row r="49" spans="1:6" x14ac:dyDescent="0.3">
      <c r="A49" s="2" t="s">
        <v>28</v>
      </c>
      <c r="B49" s="5"/>
      <c r="C49" s="5"/>
      <c r="D49" s="5"/>
      <c r="F49" s="149"/>
    </row>
    <row r="50" spans="1:6" x14ac:dyDescent="0.3">
      <c r="A50" s="146" t="s">
        <v>57</v>
      </c>
    </row>
    <row r="51" spans="1:6" x14ac:dyDescent="0.3">
      <c r="B51" s="19">
        <f>SUM(B8:B47)</f>
        <v>46163.698799461185</v>
      </c>
      <c r="C51" s="19">
        <f>SUM(C8:C47)</f>
        <v>18210.459282547003</v>
      </c>
      <c r="D51" s="19">
        <f>SUM(D8:D47)</f>
        <v>-6893.1956632257461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MENU</vt:lpstr>
      <vt:lpstr>Supuestos</vt:lpstr>
      <vt:lpstr>ER</vt:lpstr>
      <vt:lpstr>ESF</vt:lpstr>
      <vt:lpstr>Cambios Patrimonio</vt:lpstr>
      <vt:lpstr>Flujo de Efectivo</vt:lpstr>
      <vt:lpstr>Ventas</vt:lpstr>
      <vt:lpstr>Costo de Ventas</vt:lpstr>
      <vt:lpstr>Gasto de Personal</vt:lpstr>
      <vt:lpstr>Gasto de Ventas</vt:lpstr>
      <vt:lpstr>Gasto de Administración</vt:lpstr>
      <vt:lpstr>Ing Financieros</vt:lpstr>
      <vt:lpstr>Gasto Financiero</vt:lpstr>
      <vt:lpstr>Otros Gastos Op</vt:lpstr>
      <vt:lpstr>IR PT</vt:lpstr>
      <vt:lpstr>IME</vt:lpstr>
      <vt:lpstr>Fondo Maniobra</vt:lpstr>
      <vt:lpstr>Otros</vt:lpstr>
      <vt:lpstr>Pasivo Arrendamiento</vt:lpstr>
      <vt:lpstr>Fuentes Usos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01</dc:creator>
  <cp:lastModifiedBy>PC 01</cp:lastModifiedBy>
  <dcterms:created xsi:type="dcterms:W3CDTF">2020-10-08T15:27:31Z</dcterms:created>
  <dcterms:modified xsi:type="dcterms:W3CDTF">2025-08-01T23:56:20Z</dcterms:modified>
</cp:coreProperties>
</file>